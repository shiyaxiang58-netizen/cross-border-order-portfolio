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ee444911745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1e1faf9836594b11"/>
    <x:sheet xmlns:r="http://schemas.openxmlformats.org/officeDocument/2006/relationships" name="订单主数据" sheetId="2" r:id="R7c39c0d8e18449b3"/>
    <x:sheet xmlns:r="http://schemas.openxmlformats.org/officeDocument/2006/relationships" name="基础参数" sheetId="3" r:id="R6d39072de5b94a88"/>
    <x:sheet xmlns:r="http://schemas.openxmlformats.org/officeDocument/2006/relationships" name="履约看板" sheetId="4" r:id="Ra33bd80bce974963"/>
    <x:sheet xmlns:r="http://schemas.openxmlformats.org/officeDocument/2006/relationships" name="数据透视分析" sheetId="5" r:id="Reede74ec60a441e2"/>
    <x:sheet xmlns:r="http://schemas.openxmlformats.org/officeDocument/2006/relationships" name="异常台账" sheetId="6" r:id="R068afafa98364500"/>
    <x:sheet xmlns:r="http://schemas.openxmlformats.org/officeDocument/2006/relationships" name="复盘记录" sheetId="7" r:id="Rd8dd5f80cd5347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"/>
    <x:numFmt numFmtId="202" formatCode="#,##0.00"/>
    <x:numFmt numFmtId="203" formatCode="0%"/>
    <x:numFmt numFmtId="204" formatCode="#,##0"/>
  </x:numFmts>
  <x:fonts count="13">
    <x:font>
      <x:sz val="11"/>
      <x:name val="Carlito"/>
    </x:font>
    <x:font>
      <x:b/>
      <x:sz val="18"/>
      <x:color rgb="FFFFFFFF"/>
      <x:name val="Microsoft YaHei"/>
    </x:font>
    <x:font>
      <x:sz val="9"/>
      <x:color rgb="FF66757F"/>
      <x:name val="Microsoft YaHei"/>
    </x:font>
    <x:font>
      <x:b/>
      <x:sz val="9"/>
      <x:color rgb="FFFFFFFF"/>
      <x:name val="Microsoft YaHei"/>
    </x:font>
    <x:font>
      <x:sz val="9"/>
      <x:color rgb="FF263238"/>
      <x:name val="Microsoft YaHei"/>
    </x:font>
    <x:font>
      <x:b/>
      <x:sz val="9"/>
      <x:color rgb="FF7A5A00"/>
      <x:name val="Microsoft YaHei"/>
    </x:font>
    <x:font>
      <x:b/>
      <x:sz val="11"/>
      <x:color rgb="FF2E7D5B"/>
      <x:name val="Microsoft YaHei"/>
    </x:font>
    <x:font>
      <x:sz val="10"/>
      <x:color rgb="FF263238"/>
      <x:name val="Microsoft YaHei"/>
    </x:font>
    <x:font>
      <x:b/>
      <x:sz val="10"/>
      <x:color rgb="FFFFFFFF"/>
      <x:name val="Microsoft YaHei"/>
    </x:font>
    <x:font>
      <x:b/>
      <x:sz val="22"/>
      <x:color rgb="FF16324F"/>
      <x:name val="Microsoft YaHei"/>
    </x:font>
    <x:font>
      <x:b/>
      <x:sz val="22"/>
      <x:color rgb="FFC4473A"/>
      <x:name val="Microsoft YaHei"/>
    </x:font>
    <x:font>
      <x:b/>
      <x:sz val="9"/>
      <x:color rgb="FF263238"/>
      <x:name val="Microsoft YaHei"/>
    </x:font>
    <x:font>
      <x:b/>
      <x:sz val="9"/>
      <x:color rgb="FF16324F"/>
      <x:name val="Microsoft YaHei"/>
    </x:font>
  </x:fonts>
  <x:fills count="1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0F4"/>
      </x:patternFill>
    </x:fill>
    <x:fill>
      <x:patternFill patternType="solid">
        <x:fgColor rgb="FF1F5A7A"/>
      </x:patternFill>
    </x:fill>
    <x:fill>
      <x:patternFill patternType="solid">
        <x:fgColor rgb="FFFFF4D6"/>
      </x:patternFill>
    </x:fill>
    <x:fill>
      <x:patternFill patternType="solid">
        <x:fgColor rgb="FFF4F8FB"/>
      </x:patternFill>
    </x:fill>
    <x:fill>
      <x:patternFill patternType="solid">
        <x:fgColor rgb="FFEAF4FA"/>
      </x:patternFill>
    </x:fill>
    <x:fill>
      <x:patternFill patternType="solid">
        <x:fgColor rgb="FFF1F3F5"/>
      </x:patternFill>
    </x:fill>
    <x:fill>
      <x:patternFill patternType="solid">
        <x:fgColor rgb="FFE8F3EE"/>
      </x:patternFill>
    </x:fill>
    <x:fill>
      <x:patternFill patternType="solid">
        <x:fgColor rgb="FF2E7D5B"/>
      </x:patternFill>
    </x:fill>
    <x:fill>
      <x:patternFill patternType="solid">
        <x:fgColor rgb="FFFBE9E7"/>
      </x:patternFill>
    </x:fill>
    <x:fill>
      <x:patternFill patternType="solid">
        <x:fgColor rgb="FFF5F8FA"/>
      </x:patternFill>
    </x:fill>
    <x:fill>
      <x:patternFill patternType="solid">
        <x:fgColor rgb="FFC4473A"/>
      </x:patternFill>
    </x:fill>
    <x:fill>
      <x:patternFill patternType="solid">
        <x:fgColor rgb="FFD39B2A"/>
      </x:patternFill>
    </x:fill>
  </x:fills>
  <x:borders count="9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1E5"/>
      </x:bottom>
    </x:border>
    <x:border>
      <x:top style="thin">
        <x:color rgb="FFD9E1E5"/>
      </x:top>
      <x:bottom style="thin">
        <x:color rgb="FFD9E1E5"/>
      </x:bottom>
    </x:border>
    <x:border>
      <x:top style="thin">
        <x:color rgb="FFD9E1E5"/>
      </x:top>
    </x:border>
    <x:border>
      <x:right style="thin">
        <x:color rgb="FFFFFFFF"/>
      </x:right>
      <x:top style="thin">
        <x:color rgb="FFD9E1E5"/>
      </x:top>
      <x:bottom style="thin">
        <x:color rgb="FFD9E1E5"/>
      </x:bottom>
    </x:border>
    <x:border>
      <x:left style="thin">
        <x:color rgb="FFFFFFFF"/>
      </x:left>
      <x:top style="thin">
        <x:color rgb="FFD9E1E5"/>
      </x:top>
      <x:bottom style="thin">
        <x:color rgb="FFD9E1E5"/>
      </x:bottom>
    </x:border>
  </x:borders>
  <x:cellStyleXfs count="1">
    <x:xf numFmtId="0" fontId="0" fillId="0" borderId="0"/>
  </x:cellStyleXfs>
  <x:cellXfs count="1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204" fontId="4" fillId="0" borderId="4" xfId="0" applyNumberFormat="1" applyFont="1" applyFill="1" applyBorder="1" applyAlignment="1">
      <x:alignment vertical="center"/>
    </x:xf>
    <x:xf numFmtId="204" fontId="4" fillId="0" borderId="5" xfId="0" applyNumberFormat="1" applyFont="1" applyFill="1" applyBorder="1" applyAlignment="1">
      <x:alignment vertical="center"/>
    </x:xf>
    <x:xf numFmtId="204" fontId="4" fillId="0" borderId="6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vertical="center"/>
    </x:xf>
    <x:xf numFmtId="200" fontId="4" fillId="6" borderId="4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200" fontId="4" fillId="6" borderId="5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200" fontId="4" fillId="6" borderId="6" xfId="0" applyNumberFormat="1" applyFont="1" applyFill="1" applyBorder="1" applyAlignment="1">
      <x:alignment vertical="center"/>
    </x:xf>
    <x:xf numFmtId="204" fontId="4" fillId="0" borderId="4" xfId="0" applyNumberFormat="1" applyFont="1" applyFill="1" applyBorder="1" applyAlignment="1">
      <x:alignment vertical="center" wrapText="0"/>
    </x:xf>
    <x:xf numFmtId="201" fontId="4" fillId="0" borderId="4" xfId="0" applyNumberFormat="1" applyFont="1" applyFill="1" applyBorder="1" applyAlignment="1">
      <x:alignment vertical="center" wrapText="0"/>
    </x:xf>
    <x:xf numFmtId="0" fontId="4" fillId="0" borderId="4" xfId="0" applyNumberFormat="1" applyFont="1" applyFill="1" applyBorder="1" applyAlignment="1">
      <x:alignment vertical="center" wrapText="0"/>
    </x:xf>
    <x:xf numFmtId="202" fontId="4" fillId="0" borderId="4" xfId="0" applyNumberFormat="1" applyFont="1" applyFill="1" applyBorder="1" applyAlignment="1">
      <x:alignment vertical="center" wrapText="0"/>
    </x:xf>
    <x:xf numFmtId="200" fontId="4" fillId="0" borderId="4" xfId="0" applyNumberFormat="1" applyFont="1" applyFill="1" applyBorder="1" applyAlignment="1">
      <x:alignment vertical="center" wrapText="0"/>
    </x:xf>
    <x:xf numFmtId="204" fontId="4" fillId="0" borderId="5" xfId="0" applyNumberFormat="1" applyFont="1" applyFill="1" applyBorder="1" applyAlignment="1">
      <x:alignment vertical="center" wrapText="0"/>
    </x:xf>
    <x:xf numFmtId="201" fontId="4" fillId="0" borderId="5" xfId="0" applyNumberFormat="1" applyFont="1" applyFill="1" applyBorder="1" applyAlignment="1">
      <x:alignment vertical="center" wrapText="0"/>
    </x:xf>
    <x:xf numFmtId="0" fontId="4" fillId="0" borderId="5" xfId="0" applyNumberFormat="1" applyFont="1" applyFill="1" applyBorder="1" applyAlignment="1">
      <x:alignment vertical="center" wrapText="0"/>
    </x:xf>
    <x:xf numFmtId="202" fontId="4" fillId="0" borderId="5" xfId="0" applyNumberFormat="1" applyFont="1" applyFill="1" applyBorder="1" applyAlignment="1">
      <x:alignment vertical="center" wrapText="0"/>
    </x:xf>
    <x:xf numFmtId="200" fontId="4" fillId="0" borderId="5" xfId="0" applyNumberFormat="1" applyFont="1" applyFill="1" applyBorder="1" applyAlignment="1">
      <x:alignment vertical="center" wrapText="0"/>
    </x:xf>
    <x:xf numFmtId="204" fontId="4" fillId="0" borderId="6" xfId="0" applyNumberFormat="1" applyFont="1" applyFill="1" applyBorder="1" applyAlignment="1">
      <x:alignment vertical="center" wrapText="0"/>
    </x:xf>
    <x:xf numFmtId="201" fontId="4" fillId="0" borderId="6" xfId="0" applyNumberFormat="1" applyFont="1" applyFill="1" applyBorder="1" applyAlignment="1">
      <x:alignment vertical="center" wrapText="0"/>
    </x:xf>
    <x:xf numFmtId="0" fontId="4" fillId="0" borderId="6" xfId="0" applyNumberFormat="1" applyFont="1" applyFill="1" applyBorder="1" applyAlignment="1">
      <x:alignment vertical="center" wrapText="0"/>
    </x:xf>
    <x:xf numFmtId="202" fontId="4" fillId="0" borderId="6" xfId="0" applyNumberFormat="1" applyFont="1" applyFill="1" applyBorder="1" applyAlignment="1">
      <x:alignment vertical="center" wrapText="0"/>
    </x:xf>
    <x:xf numFmtId="200" fontId="4" fillId="0" borderId="6" xfId="0" applyNumberFormat="1" applyFont="1" applyFill="1" applyBorder="1" applyAlignment="1">
      <x:alignment vertical="center" wrapText="0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7" borderId="4" xfId="0" applyNumberFormat="1" applyFont="1" applyFill="1" applyBorder="1" applyAlignment="1">
      <x:alignment vertical="center"/>
    </x:xf>
    <x:xf numFmtId="0" fontId="4" fillId="7" borderId="5" xfId="0" applyNumberFormat="1" applyFont="1" applyFill="1" applyBorder="1" applyAlignment="1">
      <x:alignment vertical="center"/>
    </x:xf>
    <x:xf numFmtId="0" fontId="4" fillId="7" borderId="6" xfId="0" applyNumberFormat="1" applyFont="1" applyFill="1" applyBorder="1" applyAlignment="1">
      <x:alignment vertical="center"/>
    </x:xf>
    <x:xf numFmtId="0" fontId="4" fillId="8" borderId="4" xfId="0" applyNumberFormat="1" applyFont="1" applyFill="1" applyBorder="1" applyAlignment="1">
      <x:alignment vertical="center"/>
    </x:xf>
    <x:xf numFmtId="0" fontId="4" fillId="8" borderId="5" xfId="0" applyNumberFormat="1" applyFont="1" applyFill="1" applyBorder="1" applyAlignment="1">
      <x:alignment vertical="center"/>
    </x:xf>
    <x:xf numFmtId="0" fontId="4" fillId="8" borderId="6" xfId="0" applyNumberFormat="1" applyFont="1" applyFill="1" applyBorder="1" applyAlignment="1">
      <x:alignment vertical="center"/>
    </x:xf>
    <x:xf numFmtId="202" fontId="4" fillId="8" borderId="4" xfId="0" applyNumberFormat="1" applyFont="1" applyFill="1" applyBorder="1" applyAlignment="1">
      <x:alignment vertical="center" wrapText="0"/>
    </x:xf>
    <x:xf numFmtId="202" fontId="4" fillId="8" borderId="5" xfId="0" applyNumberFormat="1" applyFont="1" applyFill="1" applyBorder="1" applyAlignment="1">
      <x:alignment vertical="center" wrapText="0"/>
    </x:xf>
    <x:xf numFmtId="202" fontId="4" fillId="8" borderId="6" xfId="0" applyNumberFormat="1" applyFont="1" applyFill="1" applyBorder="1" applyAlignment="1">
      <x:alignment vertical="center" wrapText="0"/>
    </x:xf>
    <x:xf numFmtId="203" fontId="4" fillId="8" borderId="4" xfId="0" applyNumberFormat="1" applyFont="1" applyFill="1" applyBorder="1" applyAlignment="1">
      <x:alignment vertical="center"/>
    </x:xf>
    <x:xf numFmtId="203" fontId="4" fillId="8" borderId="5" xfId="0" applyNumberFormat="1" applyFont="1" applyFill="1" applyBorder="1" applyAlignment="1">
      <x:alignment vertical="center"/>
    </x:xf>
    <x:xf numFmtId="203" fontId="4" fillId="8" borderId="6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4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1" xfId="0" applyNumberFormat="1" applyFont="1" applyFill="1" applyBorder="1"/>
    <x:xf numFmtId="0" fontId="3" fillId="10" borderId="2" xfId="0" applyNumberFormat="1" applyFont="1" applyFill="1" applyBorder="1"/>
    <x:xf numFmtId="0" fontId="3" fillId="10" borderId="3" xfId="0" applyNumberFormat="1" applyFont="1" applyFill="1" applyBorder="1"/>
    <x:xf numFmtId="0" fontId="3" fillId="10" borderId="1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wrapText="1"/>
    </x:xf>
    <x:xf numFmtId="0" fontId="3" fillId="10" borderId="3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horizontal="center" wrapText="1"/>
    </x:xf>
    <x:xf numFmtId="0" fontId="3" fillId="10" borderId="2" xfId="0" applyNumberFormat="1" applyFont="1" applyFill="1" applyBorder="1" applyAlignment="1">
      <x:alignment horizontal="center" wrapText="1"/>
    </x:xf>
    <x:xf numFmtId="0" fontId="3" fillId="10" borderId="3" xfId="0" applyNumberFormat="1" applyFont="1" applyFill="1" applyBorder="1" applyAlignment="1">
      <x:alignment horizont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3" fillId="10" borderId="3" xfId="0" applyNumberFormat="1" applyFont="1" applyFill="1" applyBorder="1" applyAlignment="1">
      <x:alignment horizontal="center" vertical="center" wrapText="1"/>
    </x:xf>
    <x:xf numFmtId="0" fontId="7" fillId="9" borderId="4" xfId="0" applyNumberFormat="1" applyFont="1" applyFill="1" applyBorder="1" applyAlignment="1">
      <x:alignment vertical="center"/>
    </x:xf>
    <x:xf numFmtId="0" fontId="7" fillId="5" borderId="5" xfId="0" applyNumberFormat="1" applyFont="1" applyFill="1" applyBorder="1" applyAlignment="1">
      <x:alignment vertical="center"/>
    </x:xf>
    <x:xf numFmtId="0" fontId="7" fillId="11" borderId="5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horizontal="center"/>
    </x:xf>
    <x:xf numFmtId="0" fontId="9" fillId="12" borderId="0" xfId="0" applyNumberFormat="1" applyFont="1" applyFill="1" applyBorder="1" applyAlignment="1">
      <x:alignment horizontal="center" vertical="center"/>
    </x:xf>
    <x:xf numFmtId="203" fontId="9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horizontal="center"/>
    </x:xf>
    <x:xf numFmtId="0" fontId="8" fillId="13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horizontal="center"/>
    </x:xf>
    <x:xf numFmtId="0" fontId="10" fillId="11" borderId="0" xfId="0" applyNumberFormat="1" applyFont="1" applyFill="1" applyBorder="1" applyAlignment="1">
      <x:alignment horizontal="center" vertical="center"/>
    </x:xf>
    <x:xf numFmtId="0" fontId="11" fillId="4" borderId="1" xfId="0" applyNumberFormat="1" applyFont="1" applyFill="1" applyBorder="1" applyAlignment="1">
      <x:alignment horizontal="center" vertical="center" wrapText="1"/>
    </x:xf>
    <x:xf numFmtId="0" fontId="11" fillId="4" borderId="3" xfId="0" applyNumberFormat="1" applyFont="1" applyFill="1" applyBorder="1" applyAlignment="1">
      <x:alignment horizontal="center" vertical="center" wrapText="1"/>
    </x:xf>
    <x:xf numFmtId="0" fontId="11" fillId="4" borderId="7" xfId="0" applyNumberFormat="1" applyFont="1" applyFill="1" applyBorder="1" applyAlignment="1">
      <x:alignment horizontal="center" vertical="center" wrapText="1"/>
    </x:xf>
    <x:xf numFmtId="0" fontId="11" fillId="4" borderId="8" xfId="0" applyNumberFormat="1" applyFont="1" applyFill="1" applyBorder="1" applyAlignment="1">
      <x:alignment horizontal="center" vertical="center" wrapText="1"/>
    </x:xf>
    <x:xf numFmtId="0" fontId="3" fillId="13" borderId="0" xfId="0" applyNumberFormat="1" applyFont="1" applyFill="1" applyBorder="1"/>
    <x:xf numFmtId="0" fontId="3" fillId="13" borderId="1" xfId="0" applyNumberFormat="1" applyFont="1" applyFill="1" applyBorder="1"/>
    <x:xf numFmtId="0" fontId="3" fillId="13" borderId="2" xfId="0" applyNumberFormat="1" applyFont="1" applyFill="1" applyBorder="1"/>
    <x:xf numFmtId="0" fontId="3" fillId="13" borderId="3" xfId="0" applyNumberFormat="1" applyFont="1" applyFill="1" applyBorder="1"/>
    <x:xf numFmtId="0" fontId="3" fillId="13" borderId="1" xfId="0" applyNumberFormat="1" applyFont="1" applyFill="1" applyBorder="1" applyAlignment="1">
      <x:alignment wrapText="1"/>
    </x:xf>
    <x:xf numFmtId="0" fontId="3" fillId="13" borderId="2" xfId="0" applyNumberFormat="1" applyFont="1" applyFill="1" applyBorder="1" applyAlignment="1">
      <x:alignment wrapText="1"/>
    </x:xf>
    <x:xf numFmtId="0" fontId="3" fillId="13" borderId="3" xfId="0" applyNumberFormat="1" applyFont="1" applyFill="1" applyBorder="1" applyAlignment="1">
      <x:alignment wrapText="1"/>
    </x:xf>
    <x:xf numFmtId="0" fontId="3" fillId="13" borderId="1" xfId="0" applyNumberFormat="1" applyFont="1" applyFill="1" applyBorder="1" applyAlignment="1">
      <x:alignment horizontal="center" wrapText="1"/>
    </x:xf>
    <x:xf numFmtId="0" fontId="3" fillId="13" borderId="2" xfId="0" applyNumberFormat="1" applyFont="1" applyFill="1" applyBorder="1" applyAlignment="1">
      <x:alignment horizontal="center" wrapText="1"/>
    </x:xf>
    <x:xf numFmtId="0" fontId="3" fillId="13" borderId="3" xfId="0" applyNumberFormat="1" applyFont="1" applyFill="1" applyBorder="1" applyAlignment="1">
      <x:alignment horizontal="center" wrapText="1"/>
    </x:xf>
    <x:xf numFmtId="0" fontId="3" fillId="13" borderId="1" xfId="0" applyNumberFormat="1" applyFont="1" applyFill="1" applyBorder="1" applyAlignment="1">
      <x:alignment horizontal="center" vertical="center" wrapText="1"/>
    </x:xf>
    <x:xf numFmtId="0" fontId="3" fillId="13" borderId="2" xfId="0" applyNumberFormat="1" applyFont="1" applyFill="1" applyBorder="1" applyAlignment="1">
      <x:alignment horizontal="center" vertical="center" wrapText="1"/>
    </x:xf>
    <x:xf numFmtId="0" fontId="3" fillId="13" borderId="3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3" fontId="4" fillId="0" borderId="0" xfId="0" applyNumberFormat="1" applyFont="1" applyFill="1" applyBorder="1"/>
    <x:xf numFmtId="203" fontId="4" fillId="0" borderId="4" xfId="0" applyNumberFormat="1" applyFont="1" applyFill="1" applyBorder="1"/>
    <x:xf numFmtId="203" fontId="4" fillId="0" borderId="5" xfId="0" applyNumberFormat="1" applyFont="1" applyFill="1" applyBorder="1"/>
    <x:xf numFmtId="203" fontId="4" fillId="0" borderId="6" xfId="0" applyNumberFormat="1" applyFont="1" applyFill="1" applyBorder="1"/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1" xfId="0" applyNumberFormat="1" applyFont="1" applyFill="1" applyBorder="1"/>
    <x:xf numFmtId="0" fontId="3" fillId="14" borderId="2" xfId="0" applyNumberFormat="1" applyFont="1" applyFill="1" applyBorder="1"/>
    <x:xf numFmtId="0" fontId="3" fillId="14" borderId="3" xfId="0" applyNumberFormat="1" applyFont="1" applyFill="1" applyBorder="1"/>
    <x:xf numFmtId="0" fontId="3" fillId="14" borderId="1" xfId="0" applyNumberFormat="1" applyFont="1" applyFill="1" applyBorder="1" applyAlignment="1">
      <x:alignment wrapText="1"/>
    </x:xf>
    <x:xf numFmtId="0" fontId="3" fillId="14" borderId="2" xfId="0" applyNumberFormat="1" applyFont="1" applyFill="1" applyBorder="1" applyAlignment="1">
      <x:alignment wrapText="1"/>
    </x:xf>
    <x:xf numFmtId="0" fontId="3" fillId="14" borderId="3" xfId="0" applyNumberFormat="1" applyFont="1" applyFill="1" applyBorder="1" applyAlignment="1">
      <x:alignment wrapText="1"/>
    </x:xf>
    <x:xf numFmtId="0" fontId="3" fillId="14" borderId="1" xfId="0" applyNumberFormat="1" applyFont="1" applyFill="1" applyBorder="1" applyAlignment="1">
      <x:alignment horizontal="center" wrapText="1"/>
    </x:xf>
    <x:xf numFmtId="0" fontId="3" fillId="14" borderId="2" xfId="0" applyNumberFormat="1" applyFont="1" applyFill="1" applyBorder="1" applyAlignment="1">
      <x:alignment horizontal="center" wrapText="1"/>
    </x:xf>
    <x:xf numFmtId="0" fontId="3" fillId="14" borderId="3" xfId="0" applyNumberFormat="1" applyFont="1" applyFill="1" applyBorder="1" applyAlignment="1">
      <x:alignment horizontal="center" wrapText="1"/>
    </x:xf>
    <x:xf numFmtId="0" fontId="3" fillId="14" borderId="1" xfId="0" applyNumberFormat="1" applyFont="1" applyFill="1" applyBorder="1" applyAlignment="1">
      <x:alignment horizontal="center" vertical="center" wrapText="1"/>
    </x:xf>
    <x:xf numFmtId="0" fontId="3" fillId="14" borderId="2" xfId="0" applyNumberFormat="1" applyFont="1" applyFill="1" applyBorder="1" applyAlignment="1">
      <x:alignment horizontal="center" vertical="center" wrapText="1"/>
    </x:xf>
    <x:xf numFmtId="0" fontId="3" fillId="14" borderId="3" xfId="0" applyNumberFormat="1" applyFont="1" applyFill="1" applyBorder="1" applyAlignment="1">
      <x:alignment horizontal="center" vertical="center" wrapText="1"/>
    </x:xf>
    <x:xf numFmtId="0" fontId="7" fillId="5" borderId="4" xfId="0" applyNumberFormat="1" applyFont="1" applyFill="1" applyBorder="1" applyAlignment="1">
      <x:alignment vertical="center"/>
    </x:xf>
    <x:xf numFmtId="0" fontId="7" fillId="5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vertical="center"/>
    </x:xf>
    <x:xf numFmtId="0" fontId="11" fillId="1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2" fillId="1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1" fillId="12" borderId="0" xfId="0" applyNumberFormat="1" applyFont="1" applyFill="1" applyBorder="1" applyAlignment="1">
      <x:alignment vertical="center" wrapText="1"/>
    </x:xf>
    <x:xf numFmtId="0" fontId="11" fillId="12" borderId="0" xfId="0" applyNumberFormat="1" applyFont="1" applyFill="1" applyBorder="1"/>
  </x:cellXfs>
  <x:cellStyles count="1">
    <x:cellStyle name="Normal" xfId="0"/>
  </x:cellStyles>
  <x:dxfs count="11">
    <x:dxf>
      <x:font>
        <x:b/>
        <x:color rgb="FFC4473A"/>
      </x:font>
      <x:fill>
        <x:patternFill patternType="solid">
          <x:bgColor rgb="FFFBE9E7"/>
        </x:patternFill>
      </x:fill>
    </x:dxf>
    <x:dxf>
      <x:font>
        <x:b/>
        <x:color rgb="FFC4473A"/>
      </x:font>
      <x:fill>
        <x:patternFill patternType="solid">
          <x:bgColor rgb="FFFBE9E7"/>
        </x:patternFill>
      </x:fill>
    </x:dxf>
    <x:dxf>
      <x:font>
        <x:b/>
        <x:color rgb="FF8A6200"/>
      </x:font>
      <x:fill>
        <x:patternFill patternType="solid">
          <x:bgColor rgb="FFFFF4D6"/>
        </x:patternFill>
      </x:fill>
    </x:dxf>
    <x:dxf>
      <x:font>
        <x:b/>
        <x:color rgb="FF8A6200"/>
      </x:font>
      <x:fill>
        <x:patternFill patternType="solid">
          <x:bgColor rgb="FFFFF4D6"/>
        </x:patternFill>
      </x:fill>
    </x:dxf>
    <x:dxf>
      <x:font>
        <x:b/>
        <x:color rgb="FFC4473A"/>
      </x:font>
      <x:fill>
        <x:patternFill patternType="solid">
          <x:bgColor rgb="FFFBE9E7"/>
        </x:patternFill>
      </x:fill>
    </x:dxf>
    <x:dxf>
      <x:font>
        <x:b/>
        <x:color rgb="FFC4473A"/>
      </x:font>
      <x:fill>
        <x:patternFill patternType="solid">
          <x:bgColor rgb="FFFBE9E7"/>
        </x:patternFill>
      </x:fill>
    </x:dxf>
    <x:dxf>
      <x:font>
        <x:b/>
        <x:color rgb="FF8A6200"/>
      </x:font>
      <x:fill>
        <x:patternFill patternType="solid">
          <x:bgColor rgb="FFFFF4D6"/>
        </x:patternFill>
      </x:fill>
    </x:dxf>
    <x:dxf>
      <x:font>
        <x:b/>
        <x:color rgb="FFC4473A"/>
      </x:font>
      <x:fill>
        <x:patternFill patternType="solid">
          <x:bgColor rgb="FFFBE9E7"/>
        </x:patternFill>
      </x:fill>
    </x:dxf>
    <x:dxf>
      <x:font>
        <x:b/>
        <x:color rgb="FFC4473A"/>
      </x:font>
      <x:fill>
        <x:patternFill patternType="solid">
          <x:bgColor rgb="FFFBE9E7"/>
        </x:patternFill>
      </x:fill>
    </x:dxf>
    <x:dxf>
      <x:font>
        <x:b/>
        <x:color rgb="FFC4473A"/>
      </x:font>
      <x:fill>
        <x:patternFill patternType="solid">
          <x:bgColor rgb="FFFBE9E7"/>
        </x:patternFill>
      </x:fill>
    </x:dxf>
    <x:dxf>
      <x:font>
        <x:b/>
        <x:color rgb="FF8A62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e35593e7f64018" /><Relationship Type="http://schemas.openxmlformats.org/officeDocument/2006/relationships/theme" Target="/xl/theme/theme1.xml" Id="R2343e4fbeb914f50" /><Relationship Type="http://schemas.openxmlformats.org/officeDocument/2006/relationships/sharedStrings" Target="/xl/sharedStrings.xml" Id="Rf7e4b9bfe22a4ec4" /><Relationship Type="http://schemas.openxmlformats.org/officeDocument/2006/relationships/worksheet" Target="/xl/worksheets/sheet1.xml" Id="R1e1faf9836594b11" /><Relationship Type="http://schemas.openxmlformats.org/officeDocument/2006/relationships/worksheet" Target="/xl/worksheets/sheet2.xml" Id="R7c39c0d8e18449b3" /><Relationship Type="http://schemas.openxmlformats.org/officeDocument/2006/relationships/worksheet" Target="/xl/worksheets/sheet3.xml" Id="R6d39072de5b94a88" /><Relationship Type="http://schemas.openxmlformats.org/officeDocument/2006/relationships/worksheet" Target="/xl/worksheets/sheet4.xml" Id="Ra33bd80bce974963" /><Relationship Type="http://schemas.openxmlformats.org/officeDocument/2006/relationships/worksheet" Target="/xl/worksheets/sheet5.xml" Id="Reede74ec60a441e2" /><Relationship Type="http://schemas.openxmlformats.org/officeDocument/2006/relationships/worksheet" Target="/xl/worksheets/sheet6.xml" Id="R068afafa98364500" /><Relationship Type="http://schemas.openxmlformats.org/officeDocument/2006/relationships/worksheet" Target="/xl/worksheets/sheet7.xml" Id="Rd8dd5f80cd53476d" /><Relationship Type="http://schemas.microsoft.com/office/2017/10/relationships/person" Target="/xl/persons/person.xml" Id="R2b1d6c6e478947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630d5d70ec84a5a" /><Relationship Type="http://schemas.openxmlformats.org/officeDocument/2006/relationships/chart" Target="/xl/drawings/charts/chart2.xml" Id="R28f932c0dede4681" /><Relationship Type="http://schemas.openxmlformats.org/officeDocument/2006/relationships/chart" Target="/xl/drawings/charts/chart3.xml" Id="R9ed945864c924a1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运输方式结构（订单数）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订单数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'履约看板'!$N$3:$N$5</c:f>
              <c:strCache>
                <c:ptCount val="0"/>
              </c:strCache>
            </c:strRef>
          </c:cat>
          <c:val>
            <c:numRef>
              <c:f>'履约看板'!$O$3:$O$5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未关闭异常分布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未关闭数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'履约看板'!$N$8:$N$13</c:f>
              <c:strCache>
                <c:ptCount val="0"/>
              </c:strCache>
            </c:strRef>
          </c:cat>
          <c:val>
            <c:numRef>
              <c:f>'履约看板'!$O$8:$O$13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订单区域分布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订单数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'履约看板'!$Q$3:$Q$7</c:f>
              <c:strCache>
                <c:ptCount val="0"/>
              </c:strCache>
            </c:strRef>
          </c:cat>
          <c:val>
            <c:numRef>
              <c:f>'履约看板'!$R$3:$R$7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30d5d70ec84a5a"/>
        </a:graphicData>
      </a:graphic>
    </xdr:graphicFrame>
    <xdr:clientData/>
  </xdr:twoCellAnchor>
  <xdr:twoCellAnchor>
    <xdr:from>
      <xdr:col>6</xdr:col>
      <xdr:colOff>0</xdr:colOff>
      <xdr:row>8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f932c0dede468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6</xdr:col>
      <xdr:colOff>0</xdr:colOff>
      <xdr:row>38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d945864c924a1b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98D0A1E4-212F-4220-A26B-86A09D70EB64}"/>
</xltc:personList>
</file>

<file path=xl/tables/table1.xml><?xml version="1.0" encoding="utf-8"?>
<x:table xmlns:x="http://schemas.openxmlformats.org/spreadsheetml/2006/main" id="4" name="OrdersTable" displayName="OrdersTable" ref="A5:AR101" headerRowCount="1">
  <x:tableColumns count="44">
    <x:tableColumn id="1" name="订单编号"/>
    <x:tableColumn id="2" name="下单日期"/>
    <x:tableColumn id="3" name="客户编码"/>
    <x:tableColumn id="4" name="客户名称"/>
    <x:tableColumn id="5" name="国家"/>
    <x:tableColumn id="6" name="区域"/>
    <x:tableColumn id="7" name="SKU"/>
    <x:tableColumn id="8" name="产品名称"/>
    <x:tableColumn id="9" name="品类"/>
    <x:tableColumn id="10" name="数量"/>
    <x:tableColumn id="11" name="单价"/>
    <x:tableColumn id="12" name="币种"/>
    <x:tableColumn id="13" name="订单金额"/>
    <x:tableColumn id="14" name="贸易术语"/>
    <x:tableColumn id="15" name="运输方式"/>
    <x:tableColumn id="16" name="物流商"/>
    <x:tableColumn id="17" name="付款状态"/>
    <x:tableColumn id="18" name="计划生产完成"/>
    <x:tableColumn id="19" name="实际生产完成"/>
    <x:tableColumn id="20" name="计划出库"/>
    <x:tableColumn id="21" name="实际出库"/>
    <x:tableColumn id="22" name="ETD"/>
    <x:tableColumn id="23" name="ETA"/>
    <x:tableColumn id="24" name="实际签收"/>
    <x:tableColumn id="25" name="当前节点"/>
    <x:tableColumn id="26" name="物流状态"/>
    <x:tableColumn id="27" name="商业发票"/>
    <x:tableColumn id="28" name="装箱单"/>
    <x:tableColumn id="29" name="报关单"/>
    <x:tableColumn id="30" name="提单/AWB"/>
    <x:tableColumn id="31" name="原产地证"/>
    <x:tableColumn id="32" name="单证完整度"/>
    <x:tableColumn id="33" name="剩余天数"/>
    <x:tableColumn id="34" name="交期预警"/>
    <x:tableColumn id="35" name="异常类型"/>
    <x:tableColumn id="36" name="异常等级"/>
    <x:tableColumn id="37" name="责任人"/>
    <x:tableColumn id="38" name="处理截止"/>
    <x:tableColumn id="39" name="客户已通知"/>
    <x:tableColumn id="40" name="处理状态"/>
    <x:tableColumn id="41" name="异常描述"/>
    <x:tableColumn id="42" name="处理结果"/>
    <x:tableColumn id="43" name="是否准时"/>
    <x:tableColumn id="44" name="异常大类"/>
  </x:tableColumns>
  <x:tableStyleInfo name="TableStyleMedium2" showRowStripes="1"/>
</x:table>
</file>

<file path=xl/tables/table2.xml><?xml version="1.0" encoding="utf-8"?>
<x:table xmlns:x="http://schemas.openxmlformats.org/spreadsheetml/2006/main" id="1" name="CustomerMaster" displayName="CustomerMaster" ref="A4:E22" headerRowCount="1">
  <x:tableColumns count="5">
    <x:tableColumn id="1" name="客户编码"/>
    <x:tableColumn id="2" name="客户名称"/>
    <x:tableColumn id="3" name="国家"/>
    <x:tableColumn id="4" name="区域"/>
    <x:tableColumn id="5" name="默认币种"/>
  </x:tableColumns>
  <x:tableStyleInfo name="TableStyleMedium2" showRowStripes="1"/>
</x:table>
</file>

<file path=xl/tables/table3.xml><?xml version="1.0" encoding="utf-8"?>
<x:table xmlns:x="http://schemas.openxmlformats.org/spreadsheetml/2006/main" id="2" name="ProductMaster" displayName="ProductMaster" ref="G4:L16" headerRowCount="1">
  <x:tableColumns count="6">
    <x:tableColumn id="1" name="SKU"/>
    <x:tableColumn id="2" name="产品名称"/>
    <x:tableColumn id="3" name="品类"/>
    <x:tableColumn id="4" name="参考单价(USD)"/>
    <x:tableColumn id="5" name="标准生产周期(天)"/>
    <x:tableColumn id="6" name="HS编码"/>
  </x:tableColumns>
  <x:tableStyleInfo name="TableStyleMedium4" showRowStripes="1"/>
</x:table>
</file>

<file path=xl/tables/table4.xml><?xml version="1.0" encoding="utf-8"?>
<x:table xmlns:x="http://schemas.openxmlformats.org/spreadsheetml/2006/main" id="3" name="ExceptionMaster" displayName="ExceptionMaster" ref="N4:S19" headerRowCount="1">
  <x:tableColumns count="6">
    <x:tableColumn id="1" name="异常类型"/>
    <x:tableColumn id="2" name="异常大类"/>
    <x:tableColumn id="3" name="默认等级"/>
    <x:tableColumn id="4" name="第一责任人"/>
    <x:tableColumn id="5" name="方案时限(小时)"/>
    <x:tableColumn id="6" name="升级要求"/>
  </x:tableColumns>
  <x:tableStyleInfo name="TableStyleMedium3" showRowStripes="1"/>
</x:table>
</file>

<file path=xl/tables/table5.xml><?xml version="1.0" encoding="utf-8"?>
<x:table xmlns:x="http://schemas.openxmlformats.org/spreadsheetml/2006/main" id="5" name="ExceptionLedger" displayName="ExceptionLedger" ref="A5:P25" headerRowCount="1">
  <x:tableColumns count="16">
    <x:tableColumn id="1" name="异常编号"/>
    <x:tableColumn id="2" name="订单编号"/>
    <x:tableColumn id="3" name="发现日期"/>
    <x:tableColumn id="4" name="异常大类"/>
    <x:tableColumn id="5" name="异常类型"/>
    <x:tableColumn id="6" name="等级"/>
    <x:tableColumn id="7" name="影响说明"/>
    <x:tableColumn id="8" name="责任人"/>
    <x:tableColumn id="9" name="处理截止"/>
    <x:tableColumn id="10" name="临时措施"/>
    <x:tableColumn id="11" name="客户通知"/>
    <x:tableColumn id="12" name="处理状态"/>
    <x:tableColumn id="13" name="根本原因"/>
    <x:tableColumn id="14" name="最终结果"/>
    <x:tableColumn id="15" name="关闭日期"/>
    <x:tableColumn id="16" name="证据/备注"/>
  </x:tableColumns>
  <x:tableStyleInfo name="TableStyleMedium3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801c6480e947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781c67d85a440e" /><Relationship Type="http://schemas.openxmlformats.org/officeDocument/2006/relationships/table" Target="/xl/tables/table3.xml" Id="Rebd0f30b9ede49cf" /><Relationship Type="http://schemas.openxmlformats.org/officeDocument/2006/relationships/table" Target="/xl/tables/table4.xml" Id="R9eb2c533a36c4e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3c28e35d7b5848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1707ca55dd4c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4" customHeight="1">
      <x:c r="A1" s="4" t="str">
        <x:v>户外用品出口订单履约与异常管理工具</x:v>
      </x:c>
    </x:row>
    <x:row r="2" ht="22" customHeight="1">
      <x:c r="A2" s="7" t="str">
        <x:v>作品集版本｜适配外贸跟单、供应链协调、国际物流操作与销售运营</x:v>
      </x:c>
      <x:c r="B2" s="7" t="str">
        <x:v>作品集版本｜适配外贸跟单、供应链协调、国际物流操作与销售运营</x:v>
      </x:c>
      <x:c r="C2" s="7" t="str">
        <x:v>作品集版本｜适配外贸跟单、供应链协调、国际物流操作与销售运营</x:v>
      </x:c>
      <x:c r="D2" s="7" t="str">
        <x:v>作品集版本｜适配外贸跟单、供应链协调、国际物流操作与销售运营</x:v>
      </x:c>
      <x:c r="E2" s="7" t="str">
        <x:v>作品集版本｜适配外贸跟单、供应链协调、国际物流操作与销售运营</x:v>
      </x:c>
      <x:c r="F2" s="7" t="str">
        <x:v>作品集版本｜适配外贸跟单、供应链协调、国际物流操作与销售运营</x:v>
      </x:c>
      <x:c r="G2" s="7" t="str">
        <x:v>作品集版本｜适配外贸跟单、供应链协调、国际物流操作与销售运营</x:v>
      </x:c>
      <x:c r="H2" s="7" t="str">
        <x:v>作品集版本｜适配外贸跟单、供应链协调、国际物流操作与销售运营</x:v>
      </x:c>
      <x:c r="I2" s="7" t="str">
        <x:v>作品集版本｜适配外贸跟单、供应链协调、国际物流操作与销售运营</x:v>
      </x:c>
      <x:c r="J2" s="7" t="str">
        <x:v>作品集版本｜适配外贸跟单、供应链协调、国际物流操作与销售运营</x:v>
      </x:c>
    </x:row>
    <x:row r="4" ht="40" customHeight="1">
      <x:c r="A4" s="86" t="str">
        <x:v>项目目标：用一套可追踪、可预警、可复盘的Excel工具管理从订单确认到客户签收的履约全过程。</x:v>
      </x:c>
      <x:c r="B4" s="86"/>
      <x:c r="C4" s="86"/>
      <x:c r="D4" s="86"/>
      <x:c r="E4" s="86"/>
      <x:c r="F4" s="86"/>
      <x:c r="G4" s="86"/>
      <x:c r="H4" s="86"/>
      <x:c r="I4" s="86"/>
      <x:c r="J4" s="86"/>
    </x:row>
    <x:row r="6" ht="32" customHeight="1">
      <x:c r="A6" s="19" t="str">
        <x:v>工作表</x:v>
      </x:c>
      <x:c r="B6" s="21" t="str">
        <x:v>用途</x:v>
      </x:c>
      <x:c r="D6" s="105" t="str">
        <x:v>预警规则</x:v>
      </x:c>
      <x:c r="E6" s="106"/>
      <x:c r="F6" s="106"/>
      <x:c r="G6" s="106"/>
      <x:c r="H6" s="106"/>
      <x:c r="I6" s="106"/>
      <x:c r="J6" s="107"/>
    </x:row>
    <x:row r="7">
      <x:c r="A7" s="91" t="str">
        <x:v>订单主数据</x:v>
      </x:c>
      <x:c r="B7" s="91" t="str">
        <x:v>录入及追踪96条模拟订单，自动计算单证完整度、交期预警与责任人</x:v>
      </x:c>
      <x:c r="D7" s="108" t="str">
        <x:v>绿色 / 正常</x:v>
      </x:c>
      <x:c r="E7" s="91" t="str">
        <x:v>距计划出库超过7天，或订单已完成</x:v>
      </x:c>
      <x:c r="F7" s="91" t="str"/>
      <x:c r="G7" s="91" t="str"/>
      <x:c r="H7" s="91" t="str"/>
      <x:c r="I7" s="91" t="str"/>
      <x:c r="J7" s="91" t="str"/>
    </x:row>
    <x:row r="8">
      <x:c r="A8" s="92" t="str">
        <x:v>基础参数</x:v>
      </x:c>
      <x:c r="B8" s="92" t="str">
        <x:v>维护客户、产品、异常分类及SLA，是VLOOKUP的数据源</x:v>
      </x:c>
      <x:c r="D8" s="109" t="str">
        <x:v>黄色 / 关注</x:v>
      </x:c>
      <x:c r="E8" s="92" t="str">
        <x:v>距计划出库3-7天，或异常处于处理中</x:v>
      </x:c>
      <x:c r="F8" s="92" t="str"/>
      <x:c r="G8" s="92" t="str"/>
      <x:c r="H8" s="92" t="str"/>
      <x:c r="I8" s="92" t="str"/>
      <x:c r="J8" s="92" t="str"/>
    </x:row>
    <x:row r="9">
      <x:c r="A9" s="92" t="str">
        <x:v>履约看板</x:v>
      </x:c>
      <x:c r="B9" s="92" t="str">
        <x:v>查看核心指标、风险结构及优先处理订单</x:v>
      </x:c>
      <x:c r="D9" s="110" t="str">
        <x:v>红色 / 高风险</x:v>
      </x:c>
      <x:c r="E9" s="92" t="str">
        <x:v>距计划出库0-2天、已逾期，或A级异常待处理</x:v>
      </x:c>
      <x:c r="F9" s="92" t="str"/>
      <x:c r="G9" s="92" t="str"/>
      <x:c r="H9" s="92" t="str"/>
      <x:c r="I9" s="92" t="str"/>
      <x:c r="J9" s="92" t="str"/>
    </x:row>
    <x:row r="10">
      <x:c r="A10" s="92" t="str">
        <x:v>数据透视分析</x:v>
      </x:c>
      <x:c r="B10" s="92" t="str">
        <x:v>从区域、运输方式、异常大类、物流商及月份多维分析</x:v>
      </x:c>
      <x:c r="D10" s="92" t="str">
        <x:v>单证完整度</x:v>
      </x:c>
      <x:c r="E10" s="92" t="str">
        <x:v>商业发票、装箱单、报关单、提单/AWB、原产地证，每项20%</x:v>
      </x:c>
      <x:c r="F10" s="92" t="str"/>
      <x:c r="G10" s="92" t="str"/>
      <x:c r="H10" s="92" t="str"/>
      <x:c r="I10" s="92" t="str"/>
      <x:c r="J10" s="92" t="str"/>
    </x:row>
    <x:row r="11">
      <x:c r="A11" s="92" t="str">
        <x:v>异常台账</x:v>
      </x:c>
      <x:c r="B11" s="92" t="str">
        <x:v>集中跟踪异常发现、临时措施、客户沟通与关闭结果</x:v>
      </x:c>
      <x:c r="D11" s="93" t="str">
        <x:v>数据截止日期</x:v>
      </x:c>
      <x:c r="E11" s="93" t="str">
        <x:v>2026-06-23（固定口径，便于作品集结果复现）</x:v>
      </x:c>
      <x:c r="F11" s="93" t="str"/>
      <x:c r="G11" s="93" t="str"/>
      <x:c r="H11" s="93" t="str"/>
      <x:c r="I11" s="93" t="str"/>
      <x:c r="J11" s="93" t="str"/>
    </x:row>
    <x:row r="12">
      <x:c r="A12" s="93" t="str">
        <x:v>复盘记录</x:v>
      </x:c>
      <x:c r="B12" s="93" t="str">
        <x:v>沉淀根因、纠正措施和SOP更新建议</x:v>
      </x:c>
    </x:row>
    <x:row r="14" ht="34" customHeight="1">
      <x:c r="A14" s="114" t="str">
        <x:v>推荐操作路径：履约看板识别风险 → 订单主数据定位订单 → 异常台账分派责任 → 对照SOP处理 → 复盘记录关闭问题</x:v>
      </x:c>
      <x:c r="B14" s="114"/>
      <x:c r="C14" s="114"/>
      <x:c r="D14" s="114"/>
      <x:c r="E14" s="114"/>
      <x:c r="F14" s="114"/>
      <x:c r="G14" s="114"/>
      <x:c r="H14" s="114"/>
      <x:c r="I14" s="114"/>
      <x:c r="J14" s="114"/>
    </x:row>
  </x:sheetData>
  <x:mergeCells>
    <x:mergeCell ref="A1:J1"/>
    <x:mergeCell ref="A2:J2"/>
    <x:mergeCell ref="A4:J4"/>
    <x:mergeCell ref="D6:J6"/>
    <x:mergeCell ref="E7:J7"/>
    <x:mergeCell ref="E8:J8"/>
    <x:mergeCell ref="E9:J9"/>
    <x:mergeCell ref="E10:J10"/>
    <x:mergeCell ref="E11:J11"/>
    <x:mergeCell ref="A14:J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1" hidden="0" customWidth="1"/>
    <x:col min="4" max="4" width="22" hidden="0" customWidth="1"/>
    <x:col min="5" max="5" width="11" hidden="0" customWidth="1"/>
    <x:col min="6" max="6" width="10" hidden="0" customWidth="1"/>
    <x:col min="7" max="7" width="11" hidden="0" customWidth="1"/>
    <x:col min="8" max="8" width="20" hidden="0" customWidth="1"/>
    <x:col min="9" max="9" width="12" hidden="0" customWidth="1"/>
    <x:col min="10" max="10" width="10" hidden="0" customWidth="1"/>
    <x:col min="11" max="11" width="10" hidden="0" customWidth="1"/>
    <x:col min="12" max="12" width="8" hidden="0" customWidth="1"/>
    <x:col min="13" max="13" width="13" hidden="0" customWidth="1"/>
    <x:col min="14" max="14" width="10" hidden="0" customWidth="1"/>
    <x:col min="15" max="15" width="11" hidden="0" customWidth="1"/>
    <x:col min="16" max="16" width="23" hidden="0" customWidth="1"/>
    <x:col min="17" max="17" width="12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2" hidden="0" customWidth="1"/>
    <x:col min="23" max="23" width="12" hidden="0" customWidth="1"/>
    <x:col min="24" max="24" width="12" hidden="0" customWidth="1"/>
    <x:col min="25" max="25" width="11" hidden="0" customWidth="1"/>
    <x:col min="26" max="26" width="11" hidden="0" customWidth="1"/>
    <x:col min="27" max="27" width="11" hidden="0" customWidth="1"/>
    <x:col min="28" max="28" width="10" hidden="0" customWidth="1"/>
    <x:col min="29" max="29" width="10" hidden="0" customWidth="1"/>
    <x:col min="30" max="30" width="11" hidden="0" customWidth="1"/>
    <x:col min="31" max="31" width="11" hidden="0" customWidth="1"/>
    <x:col min="32" max="32" width="12" hidden="0" customWidth="1"/>
    <x:col min="33" max="33" width="10" hidden="0" customWidth="1"/>
    <x:col min="34" max="34" width="13" hidden="0" customWidth="1"/>
    <x:col min="35" max="35" width="17" hidden="0" customWidth="1"/>
    <x:col min="36" max="36" width="10" hidden="0" customWidth="1"/>
    <x:col min="37" max="37" width="14" hidden="0" customWidth="1"/>
    <x:col min="38" max="38" width="13" hidden="0" customWidth="1"/>
    <x:col min="39" max="39" width="12" hidden="0" customWidth="1"/>
    <x:col min="40" max="40" width="11" hidden="0" customWidth="1"/>
    <x:col min="41" max="41" width="27" hidden="0" customWidth="1"/>
    <x:col min="42" max="42" width="27" hidden="0" customWidth="1"/>
    <x:col min="43" max="43" width="10" hidden="0" customWidth="1"/>
    <x:col min="44" max="44" width="17" hidden="0" customWidth="1"/>
  </x:cols>
  <x:sheetData>
    <x:row r="1" ht="34" customHeight="1">
      <x:c r="A1" s="4" t="str">
        <x:v>跨境订单履约主数据</x:v>
      </x:c>
    </x:row>
    <x:row r="2" ht="22" customHeight="1">
      <x:c r="A2" s="7" t="str">
        <x:v>96条模拟户外用品出口订单｜蓝色字段为录入项，浅灰字段由公式自动计算</x:v>
      </x:c>
      <x:c r="B2" s="7" t="str">
        <x:v>96条模拟户外用品出口订单｜蓝色字段为录入项，浅灰字段由公式自动计算</x:v>
      </x:c>
      <x:c r="C2" s="7" t="str">
        <x:v>96条模拟户外用品出口订单｜蓝色字段为录入项，浅灰字段由公式自动计算</x:v>
      </x:c>
      <x:c r="D2" s="7" t="str">
        <x:v>96条模拟户外用品出口订单｜蓝色字段为录入项，浅灰字段由公式自动计算</x:v>
      </x:c>
      <x:c r="E2" s="7" t="str">
        <x:v>96条模拟户外用品出口订单｜蓝色字段为录入项，浅灰字段由公式自动计算</x:v>
      </x:c>
      <x:c r="F2" s="7" t="str">
        <x:v>96条模拟户外用品出口订单｜蓝色字段为录入项，浅灰字段由公式自动计算</x:v>
      </x:c>
      <x:c r="G2" s="7" t="str">
        <x:v>96条模拟户外用品出口订单｜蓝色字段为录入项，浅灰字段由公式自动计算</x:v>
      </x:c>
      <x:c r="H2" s="7" t="str">
        <x:v>96条模拟户外用品出口订单｜蓝色字段为录入项，浅灰字段由公式自动计算</x:v>
      </x:c>
      <x:c r="I2" s="7" t="str">
        <x:v>96条模拟户外用品出口订单｜蓝色字段为录入项，浅灰字段由公式自动计算</x:v>
      </x:c>
      <x:c r="J2" s="7" t="str">
        <x:v>96条模拟户外用品出口订单｜蓝色字段为录入项，浅灰字段由公式自动计算</x:v>
      </x:c>
      <x:c r="K2" s="7" t="str">
        <x:v>96条模拟户外用品出口订单｜蓝色字段为录入项，浅灰字段由公式自动计算</x:v>
      </x:c>
      <x:c r="L2" s="7" t="str">
        <x:v>96条模拟户外用品出口订单｜蓝色字段为录入项，浅灰字段由公式自动计算</x:v>
      </x:c>
      <x:c r="M2" s="7" t="str">
        <x:v>96条模拟户外用品出口订单｜蓝色字段为录入项，浅灰字段由公式自动计算</x:v>
      </x:c>
      <x:c r="N2" s="7" t="str">
        <x:v>96条模拟户外用品出口订单｜蓝色字段为录入项，浅灰字段由公式自动计算</x:v>
      </x:c>
      <x:c r="O2" s="7" t="str">
        <x:v>96条模拟户外用品出口订单｜蓝色字段为录入项，浅灰字段由公式自动计算</x:v>
      </x:c>
      <x:c r="P2" s="7" t="str">
        <x:v>96条模拟户外用品出口订单｜蓝色字段为录入项，浅灰字段由公式自动计算</x:v>
      </x:c>
      <x:c r="Q2" s="7" t="str">
        <x:v>96条模拟户外用品出口订单｜蓝色字段为录入项，浅灰字段由公式自动计算</x:v>
      </x:c>
      <x:c r="R2" s="7" t="str">
        <x:v>96条模拟户外用品出口订单｜蓝色字段为录入项，浅灰字段由公式自动计算</x:v>
      </x:c>
      <x:c r="S2" s="7" t="str">
        <x:v>96条模拟户外用品出口订单｜蓝色字段为录入项，浅灰字段由公式自动计算</x:v>
      </x:c>
      <x:c r="T2" s="7" t="str">
        <x:v>96条模拟户外用品出口订单｜蓝色字段为录入项，浅灰字段由公式自动计算</x:v>
      </x:c>
      <x:c r="U2" s="7" t="str">
        <x:v>96条模拟户外用品出口订单｜蓝色字段为录入项，浅灰字段由公式自动计算</x:v>
      </x:c>
      <x:c r="V2" s="7" t="str">
        <x:v>96条模拟户外用品出口订单｜蓝色字段为录入项，浅灰字段由公式自动计算</x:v>
      </x:c>
      <x:c r="W2" s="7" t="str">
        <x:v>96条模拟户外用品出口订单｜蓝色字段为录入项，浅灰字段由公式自动计算</x:v>
      </x:c>
      <x:c r="X2" s="7" t="str">
        <x:v>96条模拟户外用品出口订单｜蓝色字段为录入项，浅灰字段由公式自动计算</x:v>
      </x:c>
      <x:c r="Y2" s="7" t="str">
        <x:v>96条模拟户外用品出口订单｜蓝色字段为录入项，浅灰字段由公式自动计算</x:v>
      </x:c>
      <x:c r="Z2" s="7" t="str">
        <x:v>96条模拟户外用品出口订单｜蓝色字段为录入项，浅灰字段由公式自动计算</x:v>
      </x:c>
      <x:c r="AA2" s="7" t="str">
        <x:v>96条模拟户外用品出口订单｜蓝色字段为录入项，浅灰字段由公式自动计算</x:v>
      </x:c>
      <x:c r="AB2" s="7" t="str">
        <x:v>96条模拟户外用品出口订单｜蓝色字段为录入项，浅灰字段由公式自动计算</x:v>
      </x:c>
      <x:c r="AC2" s="7" t="str">
        <x:v>96条模拟户外用品出口订单｜蓝色字段为录入项，浅灰字段由公式自动计算</x:v>
      </x:c>
      <x:c r="AD2" s="7" t="str">
        <x:v>96条模拟户外用品出口订单｜蓝色字段为录入项，浅灰字段由公式自动计算</x:v>
      </x:c>
      <x:c r="AE2" s="7" t="str">
        <x:v>96条模拟户外用品出口订单｜蓝色字段为录入项，浅灰字段由公式自动计算</x:v>
      </x:c>
      <x:c r="AF2" s="7" t="str">
        <x:v>96条模拟户外用品出口订单｜蓝色字段为录入项，浅灰字段由公式自动计算</x:v>
      </x:c>
      <x:c r="AG2" s="7" t="str">
        <x:v>96条模拟户外用品出口订单｜蓝色字段为录入项，浅灰字段由公式自动计算</x:v>
      </x:c>
      <x:c r="AH2" s="7" t="str">
        <x:v>96条模拟户外用品出口订单｜蓝色字段为录入项，浅灰字段由公式自动计算</x:v>
      </x:c>
      <x:c r="AI2" s="7" t="str">
        <x:v>96条模拟户外用品出口订单｜蓝色字段为录入项，浅灰字段由公式自动计算</x:v>
      </x:c>
      <x:c r="AJ2" s="7" t="str">
        <x:v>96条模拟户外用品出口订单｜蓝色字段为录入项，浅灰字段由公式自动计算</x:v>
      </x:c>
      <x:c r="AK2" s="7" t="str">
        <x:v>96条模拟户外用品出口订单｜蓝色字段为录入项，浅灰字段由公式自动计算</x:v>
      </x:c>
      <x:c r="AL2" s="7" t="str">
        <x:v>96条模拟户外用品出口订单｜蓝色字段为录入项，浅灰字段由公式自动计算</x:v>
      </x:c>
      <x:c r="AM2" s="7" t="str">
        <x:v>96条模拟户外用品出口订单｜蓝色字段为录入项，浅灰字段由公式自动计算</x:v>
      </x:c>
      <x:c r="AN2" s="7" t="str">
        <x:v>96条模拟户外用品出口订单｜蓝色字段为录入项，浅灰字段由公式自动计算</x:v>
      </x:c>
      <x:c r="AO2" s="7" t="str">
        <x:v>96条模拟户外用品出口订单｜蓝色字段为录入项，浅灰字段由公式自动计算</x:v>
      </x:c>
      <x:c r="AP2" s="7" t="str">
        <x:v>96条模拟户外用品出口订单｜蓝色字段为录入项，浅灰字段由公式自动计算</x:v>
      </x:c>
      <x:c r="AQ2" s="7" t="str">
        <x:v>96条模拟户外用品出口订单｜蓝色字段为录入项，浅灰字段由公式自动计算</x:v>
      </x:c>
      <x:c r="AR2" s="7" t="str">
        <x:v>96条模拟户外用品出口订单｜蓝色字段为录入项，浅灰字段由公式自动计算</x:v>
      </x:c>
    </x:row>
    <x:row r="3">
      <x:c r="A3" s="31" t="str">
        <x:v>提示：筛选“交期预警”“异常等级”“处理状态”可快速定位高风险订单</x:v>
      </x:c>
      <x:c r="B3" s="31"/>
      <x:c r="C3" s="31"/>
      <x:c r="D3" s="31"/>
      <x:c r="E3" s="31"/>
      <x:c r="F3" s="31"/>
      <x:c r="G3" s="31"/>
      <x:c r="H3" s="31"/>
    </x:row>
    <x:row r="5" ht="32" customHeight="1">
      <x:c r="A5" s="19" t="str">
        <x:v>订单编号</x:v>
      </x:c>
      <x:c r="B5" s="20" t="str">
        <x:v>下单日期</x:v>
      </x:c>
      <x:c r="C5" s="20" t="str">
        <x:v>客户编码</x:v>
      </x:c>
      <x:c r="D5" s="20" t="str">
        <x:v>客户名称</x:v>
      </x:c>
      <x:c r="E5" s="20" t="str">
        <x:v>国家</x:v>
      </x:c>
      <x:c r="F5" s="20" t="str">
        <x:v>区域</x:v>
      </x:c>
      <x:c r="G5" s="20" t="str">
        <x:v>SKU</x:v>
      </x:c>
      <x:c r="H5" s="20" t="str">
        <x:v>产品名称</x:v>
      </x:c>
      <x:c r="I5" s="20" t="str">
        <x:v>品类</x:v>
      </x:c>
      <x:c r="J5" s="20" t="str">
        <x:v>数量</x:v>
      </x:c>
      <x:c r="K5" s="20" t="str">
        <x:v>单价</x:v>
      </x:c>
      <x:c r="L5" s="20" t="str">
        <x:v>币种</x:v>
      </x:c>
      <x:c r="M5" s="20" t="str">
        <x:v>订单金额</x:v>
      </x:c>
      <x:c r="N5" s="20" t="str">
        <x:v>贸易术语</x:v>
      </x:c>
      <x:c r="O5" s="20" t="str">
        <x:v>运输方式</x:v>
      </x:c>
      <x:c r="P5" s="20" t="str">
        <x:v>物流商</x:v>
      </x:c>
      <x:c r="Q5" s="20" t="str">
        <x:v>付款状态</x:v>
      </x:c>
      <x:c r="R5" s="20" t="str">
        <x:v>计划生产完成</x:v>
      </x:c>
      <x:c r="S5" s="20" t="str">
        <x:v>实际生产完成</x:v>
      </x:c>
      <x:c r="T5" s="20" t="str">
        <x:v>计划出库</x:v>
      </x:c>
      <x:c r="U5" s="20" t="str">
        <x:v>实际出库</x:v>
      </x:c>
      <x:c r="V5" s="20" t="str">
        <x:v>ETD</x:v>
      </x:c>
      <x:c r="W5" s="20" t="str">
        <x:v>ETA</x:v>
      </x:c>
      <x:c r="X5" s="20" t="str">
        <x:v>实际签收</x:v>
      </x:c>
      <x:c r="Y5" s="20" t="str">
        <x:v>当前节点</x:v>
      </x:c>
      <x:c r="Z5" s="20" t="str">
        <x:v>物流状态</x:v>
      </x:c>
      <x:c r="AA5" s="20" t="str">
        <x:v>商业发票</x:v>
      </x:c>
      <x:c r="AB5" s="20" t="str">
        <x:v>装箱单</x:v>
      </x:c>
      <x:c r="AC5" s="20" t="str">
        <x:v>报关单</x:v>
      </x:c>
      <x:c r="AD5" s="20" t="str">
        <x:v>提单/AWB</x:v>
      </x:c>
      <x:c r="AE5" s="20" t="str">
        <x:v>原产地证</x:v>
      </x:c>
      <x:c r="AF5" s="20" t="str">
        <x:v>单证完整度</x:v>
      </x:c>
      <x:c r="AG5" s="20" t="str">
        <x:v>剩余天数</x:v>
      </x:c>
      <x:c r="AH5" s="20" t="str">
        <x:v>交期预警</x:v>
      </x:c>
      <x:c r="AI5" s="20" t="str">
        <x:v>异常类型</x:v>
      </x:c>
      <x:c r="AJ5" s="20" t="str">
        <x:v>异常等级</x:v>
      </x:c>
      <x:c r="AK5" s="20" t="str">
        <x:v>责任人</x:v>
      </x:c>
      <x:c r="AL5" s="20" t="str">
        <x:v>处理截止</x:v>
      </x:c>
      <x:c r="AM5" s="20" t="str">
        <x:v>客户已通知</x:v>
      </x:c>
      <x:c r="AN5" s="20" t="str">
        <x:v>处理状态</x:v>
      </x:c>
      <x:c r="AO5" s="20" t="str">
        <x:v>异常描述</x:v>
      </x:c>
      <x:c r="AP5" s="20" t="str">
        <x:v>处理结果</x:v>
      </x:c>
      <x:c r="AQ5" s="20" t="str">
        <x:v>是否准时</x:v>
      </x:c>
      <x:c r="AR5" s="21" t="str">
        <x:v>异常大类</x:v>
      </x:c>
    </x:row>
    <x:row r="6" ht="34" customHeight="1">
      <x:c r="A6" s="47" t="str">
        <x:v>PO-26-001</x:v>
      </x:c>
      <x:c r="B6" s="48" t="n">
        <x:v>46025</x:v>
      </x:c>
      <x:c r="C6" s="71" t="str">
        <x:v>C005</x:v>
      </x:c>
      <x:c r="D6" s="74" t="str">
        <x:f>IFERROR(VLOOKUP(C6,'基础参数'!$A$5:$E$22,2,FALSE),"")</x:f>
        <x:v>Terra Outdoor SRL</x:v>
      </x:c>
      <x:c r="E6" s="74" t="str">
        <x:f>IFERROR(VLOOKUP(C6,'基础参数'!$A$5:$E$22,3,FALSE),"")</x:f>
        <x:v>意大利</x:v>
      </x:c>
      <x:c r="F6" s="74" t="str">
        <x:f>IFERROR(VLOOKUP(C6,'基础参数'!$A$5:$E$22,4,FALSE),"")</x:f>
        <x:v>欧洲</x:v>
      </x:c>
      <x:c r="G6" s="71" t="str">
        <x:v>CHR-110</x:v>
      </x:c>
      <x:c r="H6" s="74" t="str">
        <x:f>IFERROR(VLOOKUP(G6,'基础参数'!$G$5:$L$16,2,FALSE),"")</x:f>
        <x:v>铝合金折叠椅</x:v>
      </x:c>
      <x:c r="I6" s="74" t="str">
        <x:f>IFERROR(VLOOKUP(G6,'基础参数'!$G$5:$L$16,3,FALSE),"")</x:f>
        <x:v>折叠家具</x:v>
      </x:c>
      <x:c r="J6" s="53" t="n">
        <x:v>1700</x:v>
      </x:c>
      <x:c r="K6" s="54" t="n">
        <x:v>24.1</x:v>
      </x:c>
      <x:c r="L6" s="55" t="str">
        <x:v>EUR</x:v>
      </x:c>
      <x:c r="M6" s="77" t="n">
        <x:f>J6*K6</x:f>
        <x:v>40970</x:v>
      </x:c>
      <x:c r="N6" s="55" t="str">
        <x:v>CIF</x:v>
      </x:c>
      <x:c r="O6" s="55" t="str">
        <x:v>海运</x:v>
      </x:c>
      <x:c r="P6" s="55" t="str">
        <x:v>Maersk</x:v>
      </x:c>
      <x:c r="Q6" s="55" t="str">
        <x:v>已收款</x:v>
      </x:c>
      <x:c r="R6" s="57" t="n">
        <x:v>46049</x:v>
      </x:c>
      <x:c r="S6" s="57" t="n">
        <x:v>46048</x:v>
      </x:c>
      <x:c r="T6" s="57" t="n">
        <x:v>46053</x:v>
      </x:c>
      <x:c r="U6" s="57" t="n">
        <x:v>46054</x:v>
      </x:c>
      <x:c r="V6" s="57" t="n">
        <x:v>46055</x:v>
      </x:c>
      <x:c r="W6" s="57" t="n">
        <x:v>46087</x:v>
      </x:c>
      <x:c r="X6" s="57" t="n">
        <x:v>46087</x:v>
      </x:c>
      <x:c r="Y6" s="55" t="str">
        <x:v>已签收</x:v>
      </x:c>
      <x:c r="Z6" s="55" t="str">
        <x:v>已签收</x:v>
      </x:c>
      <x:c r="AA6" s="55" t="str">
        <x:v>已完成</x:v>
      </x:c>
      <x:c r="AB6" s="55" t="str">
        <x:v>已完成</x:v>
      </x:c>
      <x:c r="AC6" s="55" t="str">
        <x:v>已完成</x:v>
      </x:c>
      <x:c r="AD6" s="55" t="str">
        <x:v>已完成</x:v>
      </x:c>
      <x:c r="AE6" s="55" t="str">
        <x:v>已完成</x:v>
      </x:c>
      <x:c r="AF6" s="80" t="n">
        <x:f>COUNTIF(AA6:AE6,"已完成")/5</x:f>
        <x:v>1</x:v>
      </x:c>
      <x:c r="AG6" s="74" t="str">
        <x:f>IF(U6&lt;&gt;"","",T6-'基础参数'!$O$2)</x:f>
      </x:c>
      <x:c r="AH6" s="74" t="str">
        <x:f>IF(X6&lt;&gt;"","已完成",IF(U6&lt;&gt;"",IF(U6&gt;T6,"延迟出库","运输中"),IF(T6&lt;'基础参数'!$O$2,"已逾期",IF(T6-'基础参数'!$O$2&lt;=2,"红色预警",IF(T6-'基础参数'!$O$2&lt;=7,"黄色预警","正常")))))</x:f>
        <x:v>已完成</x:v>
      </x:c>
      <x:c r="AI6" s="26" t="str">
        <x:v>无异常</x:v>
      </x:c>
      <x:c r="AJ6" s="26" t="str">
        <x:v>-</x:v>
      </x:c>
      <x:c r="AK6" s="74" t="str">
        <x:f>IFERROR(VLOOKUP(AI6,'基础参数'!$N$5:$S$19,4,FALSE),"-")</x:f>
        <x:v>-</x:v>
      </x:c>
      <x:c r="AL6" s="32"/>
      <x:c r="AM6" s="26" t="str">
        <x:v>不适用</x:v>
      </x:c>
      <x:c r="AN6" s="26" t="str">
        <x:v>无异常</x:v>
      </x:c>
      <x:c r="AO6" s="68" t="str"/>
      <x:c r="AP6" s="68" t="str"/>
      <x:c r="AQ6" s="74" t="str">
        <x:f>IF(X6="","",IF(X6&lt;=W6,"是","否"))</x:f>
        <x:v>是</x:v>
      </x:c>
      <x:c r="AR6" s="74" t="str">
        <x:f>IFERROR(VLOOKUP(AI6,'基础参数'!$N$5:$S$19,2,FALSE),"无异常")</x:f>
        <x:v>无异常</x:v>
      </x:c>
    </x:row>
    <x:row r="7" ht="34" customHeight="1">
      <x:c r="A7" s="49" t="str">
        <x:v>PO-26-002</x:v>
      </x:c>
      <x:c r="B7" s="50" t="n">
        <x:v>46026</x:v>
      </x:c>
      <x:c r="C7" s="72" t="str">
        <x:v>C010</x:v>
      </x:c>
      <x:c r="D7" s="75" t="str">
        <x:f>IFERROR(VLOOKUP(C7,'基础参数'!$A$5:$E$22,2,FALSE),"")</x:f>
        <x:v>TrailWorks Co.</x:v>
      </x:c>
      <x:c r="E7" s="75" t="str">
        <x:f>IFERROR(VLOOKUP(C7,'基础参数'!$A$5:$E$22,3,FALSE),"")</x:f>
        <x:v>美国</x:v>
      </x:c>
      <x:c r="F7" s="75" t="str">
        <x:f>IFERROR(VLOOKUP(C7,'基础参数'!$A$5:$E$22,4,FALSE),"")</x:f>
        <x:v>北美</x:v>
      </x:c>
      <x:c r="G7" s="72" t="str">
        <x:v>LGT-240</x:v>
      </x:c>
      <x:c r="H7" s="75" t="str">
        <x:f>IFERROR(VLOOKUP(G7,'基础参数'!$G$5:$L$16,2,FALSE),"")</x:f>
        <x:v>太阳能营地灯串</x:v>
      </x:c>
      <x:c r="I7" s="75" t="str">
        <x:f>IFERROR(VLOOKUP(G7,'基础参数'!$G$5:$L$16,3,FALSE),"")</x:f>
        <x:v>露营照明</x:v>
      </x:c>
      <x:c r="J7" s="58" t="n">
        <x:v>1550</x:v>
      </x:c>
      <x:c r="K7" s="59" t="n">
        <x:v>25.43</x:v>
      </x:c>
      <x:c r="L7" s="60" t="str">
        <x:v>USD</x:v>
      </x:c>
      <x:c r="M7" s="78" t="n">
        <x:f>J7*K7</x:f>
        <x:v>39416.5</x:v>
      </x:c>
      <x:c r="N7" s="60" t="str">
        <x:v>FOB</x:v>
      </x:c>
      <x:c r="O7" s="60" t="str">
        <x:v>国际快递</x:v>
      </x:c>
      <x:c r="P7" s="60" t="str">
        <x:v>UPS</x:v>
      </x:c>
      <x:c r="Q7" s="60" t="str">
        <x:v>已收款</x:v>
      </x:c>
      <x:c r="R7" s="62" t="n">
        <x:v>46051</x:v>
      </x:c>
      <x:c r="S7" s="62" t="n">
        <x:v>46051</x:v>
      </x:c>
      <x:c r="T7" s="62" t="n">
        <x:v>46055</x:v>
      </x:c>
      <x:c r="U7" s="62" t="n">
        <x:v>46056</x:v>
      </x:c>
      <x:c r="V7" s="62" t="n">
        <x:v>46057</x:v>
      </x:c>
      <x:c r="W7" s="62" t="n">
        <x:v>46062</x:v>
      </x:c>
      <x:c r="X7" s="62" t="n">
        <x:v>46062</x:v>
      </x:c>
      <x:c r="Y7" s="60" t="str">
        <x:v>已签收</x:v>
      </x:c>
      <x:c r="Z7" s="60" t="str">
        <x:v>已签收</x:v>
      </x:c>
      <x:c r="AA7" s="60" t="str">
        <x:v>已完成</x:v>
      </x:c>
      <x:c r="AB7" s="60" t="str">
        <x:v>已完成</x:v>
      </x:c>
      <x:c r="AC7" s="60" t="str">
        <x:v>已完成</x:v>
      </x:c>
      <x:c r="AD7" s="60" t="str">
        <x:v>已完成</x:v>
      </x:c>
      <x:c r="AE7" s="60" t="str">
        <x:v>已完成</x:v>
      </x:c>
      <x:c r="AF7" s="81" t="n">
        <x:f>COUNTIF(AA7:AE7,"已完成")/5</x:f>
        <x:v>1</x:v>
      </x:c>
      <x:c r="AG7" s="75" t="str">
        <x:f>IF(U7&lt;&gt;"","",T7-'基础参数'!$O$2)</x:f>
      </x:c>
      <x:c r="AH7" s="75" t="str">
        <x:f>IF(X7&lt;&gt;"","已完成",IF(U7&lt;&gt;"",IF(U7&gt;T7,"延迟出库","运输中"),IF(T7&lt;'基础参数'!$O$2,"已逾期",IF(T7-'基础参数'!$O$2&lt;=2,"红色预警",IF(T7-'基础参数'!$O$2&lt;=7,"黄色预警","正常")))))</x:f>
        <x:v>已完成</x:v>
      </x:c>
      <x:c r="AI7" s="27" t="str">
        <x:v>无异常</x:v>
      </x:c>
      <x:c r="AJ7" s="27" t="str">
        <x:v>-</x:v>
      </x:c>
      <x:c r="AK7" s="75" t="str">
        <x:f>IFERROR(VLOOKUP(AI7,'基础参数'!$N$5:$S$19,4,FALSE),"-")</x:f>
        <x:v>-</x:v>
      </x:c>
      <x:c r="AL7" s="33"/>
      <x:c r="AM7" s="27" t="str">
        <x:v>不适用</x:v>
      </x:c>
      <x:c r="AN7" s="27" t="str">
        <x:v>无异常</x:v>
      </x:c>
      <x:c r="AO7" s="69" t="str"/>
      <x:c r="AP7" s="69" t="str"/>
      <x:c r="AQ7" s="75" t="str">
        <x:f>IF(X7="","",IF(X7&lt;=W7,"是","否"))</x:f>
        <x:v>是</x:v>
      </x:c>
      <x:c r="AR7" s="75" t="str">
        <x:f>IFERROR(VLOOKUP(AI7,'基础参数'!$N$5:$S$19,2,FALSE),"无异常")</x:f>
        <x:v>无异常</x:v>
      </x:c>
    </x:row>
    <x:row r="8" ht="34" customHeight="1">
      <x:c r="A8" s="49" t="str">
        <x:v>PO-26-003</x:v>
      </x:c>
      <x:c r="B8" s="50" t="n">
        <x:v>46028</x:v>
      </x:c>
      <x:c r="C8" s="72" t="str">
        <x:v>C011</x:v>
      </x:c>
      <x:c r="D8" s="75" t="str">
        <x:f>IFERROR(VLOOKUP(C8,'基础参数'!$A$5:$E$22,2,FALSE),"")</x:f>
        <x:v>Maple Camp Ltd.</x:v>
      </x:c>
      <x:c r="E8" s="75" t="str">
        <x:f>IFERROR(VLOOKUP(C8,'基础参数'!$A$5:$E$22,3,FALSE),"")</x:f>
        <x:v>加拿大</x:v>
      </x:c>
      <x:c r="F8" s="75" t="str">
        <x:f>IFERROR(VLOOKUP(C8,'基础参数'!$A$5:$E$22,4,FALSE),"")</x:f>
        <x:v>北美</x:v>
      </x:c>
      <x:c r="G8" s="72" t="str">
        <x:v>TBL-220</x:v>
      </x:c>
      <x:c r="H8" s="75" t="str">
        <x:f>IFERROR(VLOOKUP(G8,'基础参数'!$G$5:$L$16,2,FALSE),"")</x:f>
        <x:v>便携折叠桌</x:v>
      </x:c>
      <x:c r="I8" s="75" t="str">
        <x:f>IFERROR(VLOOKUP(G8,'基础参数'!$G$5:$L$16,3,FALSE),"")</x:f>
        <x:v>折叠家具</x:v>
      </x:c>
      <x:c r="J8" s="58" t="n">
        <x:v>1050</x:v>
      </x:c>
      <x:c r="K8" s="59" t="n">
        <x:v>43.18</x:v>
      </x:c>
      <x:c r="L8" s="60" t="str">
        <x:v>USD</x:v>
      </x:c>
      <x:c r="M8" s="78" t="n">
        <x:f>J8*K8</x:f>
        <x:v>45339</x:v>
      </x:c>
      <x:c r="N8" s="60" t="str">
        <x:v>FOB</x:v>
      </x:c>
      <x:c r="O8" s="60" t="str">
        <x:v>海运</x:v>
      </x:c>
      <x:c r="P8" s="60" t="str">
        <x:v>ONE</x:v>
      </x:c>
      <x:c r="Q8" s="60" t="str">
        <x:v>已收款</x:v>
      </x:c>
      <x:c r="R8" s="62" t="n">
        <x:v>46055</x:v>
      </x:c>
      <x:c r="S8" s="62" t="n">
        <x:v>46054</x:v>
      </x:c>
      <x:c r="T8" s="62" t="n">
        <x:v>46059</x:v>
      </x:c>
      <x:c r="U8" s="62" t="n">
        <x:v>46058</x:v>
      </x:c>
      <x:c r="V8" s="62" t="n">
        <x:v>46059</x:v>
      </x:c>
      <x:c r="W8" s="62" t="n">
        <x:v>46091</x:v>
      </x:c>
      <x:c r="X8" s="62" t="n">
        <x:v>46089</x:v>
      </x:c>
      <x:c r="Y8" s="60" t="str">
        <x:v>已签收</x:v>
      </x:c>
      <x:c r="Z8" s="60" t="str">
        <x:v>已签收</x:v>
      </x:c>
      <x:c r="AA8" s="60" t="str">
        <x:v>已完成</x:v>
      </x:c>
      <x:c r="AB8" s="60" t="str">
        <x:v>已完成</x:v>
      </x:c>
      <x:c r="AC8" s="60" t="str">
        <x:v>已完成</x:v>
      </x:c>
      <x:c r="AD8" s="60" t="str">
        <x:v>已完成</x:v>
      </x:c>
      <x:c r="AE8" s="60" t="str">
        <x:v>已完成</x:v>
      </x:c>
      <x:c r="AF8" s="81" t="n">
        <x:f>COUNTIF(AA8:AE8,"已完成")/5</x:f>
        <x:v>1</x:v>
      </x:c>
      <x:c r="AG8" s="75" t="str">
        <x:f>IF(U8&lt;&gt;"","",T8-'基础参数'!$O$2)</x:f>
      </x:c>
      <x:c r="AH8" s="75" t="str">
        <x:f>IF(X8&lt;&gt;"","已完成",IF(U8&lt;&gt;"",IF(U8&gt;T8,"延迟出库","运输中"),IF(T8&lt;'基础参数'!$O$2,"已逾期",IF(T8-'基础参数'!$O$2&lt;=2,"红色预警",IF(T8-'基础参数'!$O$2&lt;=7,"黄色预警","正常")))))</x:f>
        <x:v>已完成</x:v>
      </x:c>
      <x:c r="AI8" s="27" t="str">
        <x:v>无异常</x:v>
      </x:c>
      <x:c r="AJ8" s="27" t="str">
        <x:v>-</x:v>
      </x:c>
      <x:c r="AK8" s="75" t="str">
        <x:f>IFERROR(VLOOKUP(AI8,'基础参数'!$N$5:$S$19,4,FALSE),"-")</x:f>
        <x:v>-</x:v>
      </x:c>
      <x:c r="AL8" s="33"/>
      <x:c r="AM8" s="27" t="str">
        <x:v>不适用</x:v>
      </x:c>
      <x:c r="AN8" s="27" t="str">
        <x:v>无异常</x:v>
      </x:c>
      <x:c r="AO8" s="69" t="str"/>
      <x:c r="AP8" s="69" t="str"/>
      <x:c r="AQ8" s="75" t="str">
        <x:f>IF(X8="","",IF(X8&lt;=W8,"是","否"))</x:f>
        <x:v>是</x:v>
      </x:c>
      <x:c r="AR8" s="75" t="str">
        <x:f>IFERROR(VLOOKUP(AI8,'基础参数'!$N$5:$S$19,2,FALSE),"无异常")</x:f>
        <x:v>无异常</x:v>
      </x:c>
    </x:row>
    <x:row r="9" ht="34" customHeight="1">
      <x:c r="A9" s="49" t="str">
        <x:v>PO-26-004</x:v>
      </x:c>
      <x:c r="B9" s="50" t="n">
        <x:v>46030</x:v>
      </x:c>
      <x:c r="C9" s="72" t="str">
        <x:v>C017</x:v>
      </x:c>
      <x:c r="D9" s="75" t="str">
        <x:f>IFERROR(VLOOKUP(C9,'基础参数'!$A$5:$E$22,2,FALSE),"")</x:f>
        <x:v>HanRiver Outdoor</x:v>
      </x:c>
      <x:c r="E9" s="75" t="str">
        <x:f>IFERROR(VLOOKUP(C9,'基础参数'!$A$5:$E$22,3,FALSE),"")</x:f>
        <x:v>韩国</x:v>
      </x:c>
      <x:c r="F9" s="75" t="str">
        <x:f>IFERROR(VLOOKUP(C9,'基础参数'!$A$5:$E$22,4,FALSE),"")</x:f>
        <x:v>亚洲</x:v>
      </x:c>
      <x:c r="G9" s="72" t="str">
        <x:v>CKT-150</x:v>
      </x:c>
      <x:c r="H9" s="75" t="str">
        <x:f>IFERROR(VLOOKUP(G9,'基础参数'!$G$5:$L$16,2,FALSE),"")</x:f>
        <x:v>不锈钢炊具套装</x:v>
      </x:c>
      <x:c r="I9" s="75" t="str">
        <x:f>IFERROR(VLOOKUP(G9,'基础参数'!$G$5:$L$16,3,FALSE),"")</x:f>
        <x:v>户外炊具</x:v>
      </x:c>
      <x:c r="J9" s="58" t="n">
        <x:v>950</x:v>
      </x:c>
      <x:c r="K9" s="59" t="n">
        <x:v>30.2</x:v>
      </x:c>
      <x:c r="L9" s="60" t="str">
        <x:v>USD</x:v>
      </x:c>
      <x:c r="M9" s="78" t="n">
        <x:f>J9*K9</x:f>
        <x:v>28690</x:v>
      </x:c>
      <x:c r="N9" s="60" t="str">
        <x:v>FOB</x:v>
      </x:c>
      <x:c r="O9" s="60" t="str">
        <x:v>国际快递</x:v>
      </x:c>
      <x:c r="P9" s="60" t="str">
        <x:v>DHL Express</x:v>
      </x:c>
      <x:c r="Q9" s="60" t="str">
        <x:v>已收款</x:v>
      </x:c>
      <x:c r="R9" s="62" t="n">
        <x:v>46056</x:v>
      </x:c>
      <x:c r="S9" s="62" t="n">
        <x:v>46054</x:v>
      </x:c>
      <x:c r="T9" s="62" t="n">
        <x:v>46060</x:v>
      </x:c>
      <x:c r="U9" s="62" t="n">
        <x:v>46061</x:v>
      </x:c>
      <x:c r="V9" s="62" t="n">
        <x:v>46062</x:v>
      </x:c>
      <x:c r="W9" s="62" t="n">
        <x:v>46067</x:v>
      </x:c>
      <x:c r="X9" s="62" t="n">
        <x:v>46067</x:v>
      </x:c>
      <x:c r="Y9" s="60" t="str">
        <x:v>已签收</x:v>
      </x:c>
      <x:c r="Z9" s="60" t="str">
        <x:v>已签收</x:v>
      </x:c>
      <x:c r="AA9" s="60" t="str">
        <x:v>已完成</x:v>
      </x:c>
      <x:c r="AB9" s="60" t="str">
        <x:v>已完成</x:v>
      </x:c>
      <x:c r="AC9" s="60" t="str">
        <x:v>已完成</x:v>
      </x:c>
      <x:c r="AD9" s="60" t="str">
        <x:v>已完成</x:v>
      </x:c>
      <x:c r="AE9" s="60" t="str">
        <x:v>已完成</x:v>
      </x:c>
      <x:c r="AF9" s="81" t="n">
        <x:f>COUNTIF(AA9:AE9,"已完成")/5</x:f>
        <x:v>1</x:v>
      </x:c>
      <x:c r="AG9" s="75" t="str">
        <x:f>IF(U9&lt;&gt;"","",T9-'基础参数'!$O$2)</x:f>
      </x:c>
      <x:c r="AH9" s="75" t="str">
        <x:f>IF(X9&lt;&gt;"","已完成",IF(U9&lt;&gt;"",IF(U9&gt;T9,"延迟出库","运输中"),IF(T9&lt;'基础参数'!$O$2,"已逾期",IF(T9-'基础参数'!$O$2&lt;=2,"红色预警",IF(T9-'基础参数'!$O$2&lt;=7,"黄色预警","正常")))))</x:f>
        <x:v>已完成</x:v>
      </x:c>
      <x:c r="AI9" s="27" t="str">
        <x:v>无异常</x:v>
      </x:c>
      <x:c r="AJ9" s="27" t="str">
        <x:v>-</x:v>
      </x:c>
      <x:c r="AK9" s="75" t="str">
        <x:f>IFERROR(VLOOKUP(AI9,'基础参数'!$N$5:$S$19,4,FALSE),"-")</x:f>
        <x:v>-</x:v>
      </x:c>
      <x:c r="AL9" s="33"/>
      <x:c r="AM9" s="27" t="str">
        <x:v>不适用</x:v>
      </x:c>
      <x:c r="AN9" s="27" t="str">
        <x:v>无异常</x:v>
      </x:c>
      <x:c r="AO9" s="69" t="str"/>
      <x:c r="AP9" s="69" t="str"/>
      <x:c r="AQ9" s="75" t="str">
        <x:f>IF(X9="","",IF(X9&lt;=W9,"是","否"))</x:f>
        <x:v>是</x:v>
      </x:c>
      <x:c r="AR9" s="75" t="str">
        <x:f>IFERROR(VLOOKUP(AI9,'基础参数'!$N$5:$S$19,2,FALSE),"无异常")</x:f>
        <x:v>无异常</x:v>
      </x:c>
    </x:row>
    <x:row r="10" ht="34" customHeight="1">
      <x:c r="A10" s="49" t="str">
        <x:v>PO-26-005</x:v>
      </x:c>
      <x:c r="B10" s="50" t="n">
        <x:v>46032</x:v>
      </x:c>
      <x:c r="C10" s="72" t="str">
        <x:v>C004</x:v>
      </x:c>
      <x:c r="D10" s="75" t="str">
        <x:f>IFERROR(VLOOKUP(C10,'基础参数'!$A$5:$E$22,2,FALSE),"")</x:f>
        <x:v>WildPeak AB</x:v>
      </x:c>
      <x:c r="E10" s="75" t="str">
        <x:f>IFERROR(VLOOKUP(C10,'基础参数'!$A$5:$E$22,3,FALSE),"")</x:f>
        <x:v>瑞典</x:v>
      </x:c>
      <x:c r="F10" s="75" t="str">
        <x:f>IFERROR(VLOOKUP(C10,'基础参数'!$A$5:$E$22,4,FALSE),"")</x:f>
        <x:v>欧洲</x:v>
      </x:c>
      <x:c r="G10" s="72" t="str">
        <x:v>MAT-160</x:v>
      </x:c>
      <x:c r="H10" s="75" t="str">
        <x:f>IFERROR(VLOOKUP(G10,'基础参数'!$G$5:$L$16,2,FALSE),"")</x:f>
        <x:v>防水野餐垫</x:v>
      </x:c>
      <x:c r="I10" s="75" t="str">
        <x:f>IFERROR(VLOOKUP(G10,'基础参数'!$G$5:$L$16,3,FALSE),"")</x:f>
        <x:v>野餐垫</x:v>
      </x:c>
      <x:c r="J10" s="58" t="n">
        <x:v>2300</x:v>
      </x:c>
      <x:c r="K10" s="59" t="n">
        <x:v>14.83</x:v>
      </x:c>
      <x:c r="L10" s="60" t="str">
        <x:v>EUR</x:v>
      </x:c>
      <x:c r="M10" s="78" t="n">
        <x:f>J10*K10</x:f>
        <x:v>34109</x:v>
      </x:c>
      <x:c r="N10" s="60" t="str">
        <x:v>DDP</x:v>
      </x:c>
      <x:c r="O10" s="60" t="str">
        <x:v>海运</x:v>
      </x:c>
      <x:c r="P10" s="60" t="str">
        <x:v>COSCO</x:v>
      </x:c>
      <x:c r="Q10" s="60" t="str">
        <x:v>已收款</x:v>
      </x:c>
      <x:c r="R10" s="62" t="n">
        <x:v>46050</x:v>
      </x:c>
      <x:c r="S10" s="62" t="n">
        <x:v>46059</x:v>
      </x:c>
      <x:c r="T10" s="62" t="n">
        <x:v>46054</x:v>
      </x:c>
      <x:c r="U10" s="62" t="n">
        <x:v>46063</x:v>
      </x:c>
      <x:c r="V10" s="62" t="n">
        <x:v>46064</x:v>
      </x:c>
      <x:c r="W10" s="62" t="n">
        <x:v>46096</x:v>
      </x:c>
      <x:c r="X10" s="62" t="n">
        <x:v>46096</x:v>
      </x:c>
      <x:c r="Y10" s="60" t="str">
        <x:v>已签收</x:v>
      </x:c>
      <x:c r="Z10" s="60" t="str">
        <x:v>已签收</x:v>
      </x:c>
      <x:c r="AA10" s="60" t="str">
        <x:v>已完成</x:v>
      </x:c>
      <x:c r="AB10" s="60" t="str">
        <x:v>已完成</x:v>
      </x:c>
      <x:c r="AC10" s="60" t="str">
        <x:v>已完成</x:v>
      </x:c>
      <x:c r="AD10" s="60" t="str">
        <x:v>已完成</x:v>
      </x:c>
      <x:c r="AE10" s="60" t="str">
        <x:v>已完成</x:v>
      </x:c>
      <x:c r="AF10" s="81" t="n">
        <x:f>COUNTIF(AA10:AE10,"已完成")/5</x:f>
        <x:v>1</x:v>
      </x:c>
      <x:c r="AG10" s="75" t="str">
        <x:f>IF(U10&lt;&gt;"","",T10-'基础参数'!$O$2)</x:f>
      </x:c>
      <x:c r="AH10" s="75" t="str">
        <x:f>IF(X10&lt;&gt;"","已完成",IF(U10&lt;&gt;"",IF(U10&gt;T10,"延迟出库","运输中"),IF(T10&lt;'基础参数'!$O$2,"已逾期",IF(T10-'基础参数'!$O$2&lt;=2,"红色预警",IF(T10-'基础参数'!$O$2&lt;=7,"黄色预警","正常")))))</x:f>
        <x:v>已完成</x:v>
      </x:c>
      <x:c r="AI10" s="27" t="str">
        <x:v>原料延期</x:v>
      </x:c>
      <x:c r="AJ10" s="27" t="str">
        <x:v>B级</x:v>
      </x:c>
      <x:c r="AK10" s="75" t="str">
        <x:f>IFERROR(VLOOKUP(AI10,'基础参数'!$N$5:$S$19,4,FALSE),"-")</x:f>
        <x:v>供应链专员</x:v>
      </x:c>
      <x:c r="AL10" s="33" t="n">
        <x:v>46052</x:v>
      </x:c>
      <x:c r="AM10" s="27" t="str">
        <x:v>已通知</x:v>
      </x:c>
      <x:c r="AN10" s="27" t="str">
        <x:v>已关闭</x:v>
      </x:c>
      <x:c r="AO10" s="69" t="str">
        <x:v>原料延期导致计划节点存在一般偏差</x:v>
      </x:c>
      <x:c r="AP10" s="69" t="str">
        <x:v>已完成补救并取得客户确认</x:v>
      </x:c>
      <x:c r="AQ10" s="75" t="str">
        <x:f>IF(X10="","",IF(X10&lt;=W10,"是","否"))</x:f>
        <x:v>是</x:v>
      </x:c>
      <x:c r="AR10" s="75" t="str">
        <x:f>IFERROR(VLOOKUP(AI10,'基础参数'!$N$5:$S$19,2,FALSE),"无异常")</x:f>
        <x:v>生产与备货</x:v>
      </x:c>
    </x:row>
    <x:row r="11" ht="34" customHeight="1">
      <x:c r="A11" s="49" t="str">
        <x:v>PO-26-006</x:v>
      </x:c>
      <x:c r="B11" s="50" t="n">
        <x:v>46033</x:v>
      </x:c>
      <x:c r="C11" s="72" t="str">
        <x:v>C012</x:v>
      </x:c>
      <x:c r="D11" s="75" t="str">
        <x:f>IFERROR(VLOOKUP(C11,'基础参数'!$A$5:$E$22,2,FALSE),"")</x:f>
        <x:v>Outback Living Pty</x:v>
      </x:c>
      <x:c r="E11" s="75" t="str">
        <x:f>IFERROR(VLOOKUP(C11,'基础参数'!$A$5:$E$22,3,FALSE),"")</x:f>
        <x:v>澳大利亚</x:v>
      </x:c>
      <x:c r="F11" s="75" t="str">
        <x:f>IFERROR(VLOOKUP(C11,'基础参数'!$A$5:$E$22,4,FALSE),"")</x:f>
        <x:v>澳洲</x:v>
      </x:c>
      <x:c r="G11" s="72" t="str">
        <x:v>CHR-110</x:v>
      </x:c>
      <x:c r="H11" s="75" t="str">
        <x:f>IFERROR(VLOOKUP(G11,'基础参数'!$G$5:$L$16,2,FALSE),"")</x:f>
        <x:v>铝合金折叠椅</x:v>
      </x:c>
      <x:c r="I11" s="75" t="str">
        <x:f>IFERROR(VLOOKUP(G11,'基础参数'!$G$5:$L$16,3,FALSE),"")</x:f>
        <x:v>折叠家具</x:v>
      </x:c>
      <x:c r="J11" s="58" t="n">
        <x:v>1650</x:v>
      </x:c>
      <x:c r="K11" s="59" t="n">
        <x:v>23.63</x:v>
      </x:c>
      <x:c r="L11" s="60" t="str">
        <x:v>USD</x:v>
      </x:c>
      <x:c r="M11" s="78" t="n">
        <x:f>J11*K11</x:f>
        <x:v>38989.5</x:v>
      </x:c>
      <x:c r="N11" s="60" t="str">
        <x:v>DDP</x:v>
      </x:c>
      <x:c r="O11" s="60" t="str">
        <x:v>空运</x:v>
      </x:c>
      <x:c r="P11" s="60" t="str">
        <x:v>DHL Global Forwarding</x:v>
      </x:c>
      <x:c r="Q11" s="60" t="str">
        <x:v>已收款</x:v>
      </x:c>
      <x:c r="R11" s="62" t="n">
        <x:v>46057</x:v>
      </x:c>
      <x:c r="S11" s="62" t="n">
        <x:v>46057</x:v>
      </x:c>
      <x:c r="T11" s="62" t="n">
        <x:v>46061</x:v>
      </x:c>
      <x:c r="U11" s="62" t="n">
        <x:v>46060</x:v>
      </x:c>
      <x:c r="V11" s="62" t="n">
        <x:v>46061</x:v>
      </x:c>
      <x:c r="W11" s="62" t="n">
        <x:v>46069</x:v>
      </x:c>
      <x:c r="X11" s="62" t="n">
        <x:v>46069</x:v>
      </x:c>
      <x:c r="Y11" s="60" t="str">
        <x:v>已签收</x:v>
      </x:c>
      <x:c r="Z11" s="60" t="str">
        <x:v>已签收</x:v>
      </x:c>
      <x:c r="AA11" s="60" t="str">
        <x:v>已完成</x:v>
      </x:c>
      <x:c r="AB11" s="60" t="str">
        <x:v>已完成</x:v>
      </x:c>
      <x:c r="AC11" s="60" t="str">
        <x:v>已完成</x:v>
      </x:c>
      <x:c r="AD11" s="60" t="str">
        <x:v>已完成</x:v>
      </x:c>
      <x:c r="AE11" s="60" t="str">
        <x:v>已完成</x:v>
      </x:c>
      <x:c r="AF11" s="81" t="n">
        <x:f>COUNTIF(AA11:AE11,"已完成")/5</x:f>
        <x:v>1</x:v>
      </x:c>
      <x:c r="AG11" s="75" t="str">
        <x:f>IF(U11&lt;&gt;"","",T11-'基础参数'!$O$2)</x:f>
      </x:c>
      <x:c r="AH11" s="75" t="str">
        <x:f>IF(X11&lt;&gt;"","已完成",IF(U11&lt;&gt;"",IF(U11&gt;T11,"延迟出库","运输中"),IF(T11&lt;'基础参数'!$O$2,"已逾期",IF(T11-'基础参数'!$O$2&lt;=2,"红色预警",IF(T11-'基础参数'!$O$2&lt;=7,"黄色预警","正常")))))</x:f>
        <x:v>已完成</x:v>
      </x:c>
      <x:c r="AI11" s="27" t="str">
        <x:v>无异常</x:v>
      </x:c>
      <x:c r="AJ11" s="27" t="str">
        <x:v>-</x:v>
      </x:c>
      <x:c r="AK11" s="75" t="str">
        <x:f>IFERROR(VLOOKUP(AI11,'基础参数'!$N$5:$S$19,4,FALSE),"-")</x:f>
        <x:v>-</x:v>
      </x:c>
      <x:c r="AL11" s="33"/>
      <x:c r="AM11" s="27" t="str">
        <x:v>不适用</x:v>
      </x:c>
      <x:c r="AN11" s="27" t="str">
        <x:v>无异常</x:v>
      </x:c>
      <x:c r="AO11" s="69" t="str"/>
      <x:c r="AP11" s="69" t="str"/>
      <x:c r="AQ11" s="75" t="str">
        <x:f>IF(X11="","",IF(X11&lt;=W11,"是","否"))</x:f>
        <x:v>是</x:v>
      </x:c>
      <x:c r="AR11" s="75" t="str">
        <x:f>IFERROR(VLOOKUP(AI11,'基础参数'!$N$5:$S$19,2,FALSE),"无异常")</x:f>
        <x:v>无异常</x:v>
      </x:c>
    </x:row>
    <x:row r="12" ht="34" customHeight="1">
      <x:c r="A12" s="49" t="str">
        <x:v>PO-26-007</x:v>
      </x:c>
      <x:c r="B12" s="50" t="n">
        <x:v>46035</x:v>
      </x:c>
      <x:c r="C12" s="72" t="str">
        <x:v>C016</x:v>
      </x:c>
      <x:c r="D12" s="75" t="str">
        <x:f>IFERROR(VLOOKUP(C12,'基础参数'!$A$5:$E$22,2,FALSE),"")</x:f>
        <x:v>Sakura Field Co.</x:v>
      </x:c>
      <x:c r="E12" s="75" t="str">
        <x:f>IFERROR(VLOOKUP(C12,'基础参数'!$A$5:$E$22,3,FALSE),"")</x:f>
        <x:v>日本</x:v>
      </x:c>
      <x:c r="F12" s="75" t="str">
        <x:f>IFERROR(VLOOKUP(C12,'基础参数'!$A$5:$E$22,4,FALSE),"")</x:f>
        <x:v>亚洲</x:v>
      </x:c>
      <x:c r="G12" s="72" t="str">
        <x:v>LGT-240</x:v>
      </x:c>
      <x:c r="H12" s="75" t="str">
        <x:f>IFERROR(VLOOKUP(G12,'基础参数'!$G$5:$L$16,2,FALSE),"")</x:f>
        <x:v>太阳能营地灯串</x:v>
      </x:c>
      <x:c r="I12" s="75" t="str">
        <x:f>IFERROR(VLOOKUP(G12,'基础参数'!$G$5:$L$16,3,FALSE),"")</x:f>
        <x:v>露营照明</x:v>
      </x:c>
      <x:c r="J12" s="58" t="n">
        <x:v>1700</x:v>
      </x:c>
      <x:c r="K12" s="59" t="n">
        <x:v>24.49</x:v>
      </x:c>
      <x:c r="L12" s="60" t="str">
        <x:v>USD</x:v>
      </x:c>
      <x:c r="M12" s="78" t="n">
        <x:f>J12*K12</x:f>
        <x:v>41633</x:v>
      </x:c>
      <x:c r="N12" s="60" t="str">
        <x:v>CIF</x:v>
      </x:c>
      <x:c r="O12" s="60" t="str">
        <x:v>国际快递</x:v>
      </x:c>
      <x:c r="P12" s="60" t="str">
        <x:v>UPS</x:v>
      </x:c>
      <x:c r="Q12" s="60" t="str">
        <x:v>已收款</x:v>
      </x:c>
      <x:c r="R12" s="62" t="n">
        <x:v>46060</x:v>
      </x:c>
      <x:c r="S12" s="62" t="n">
        <x:v>46058</x:v>
      </x:c>
      <x:c r="T12" s="62" t="n">
        <x:v>46064</x:v>
      </x:c>
      <x:c r="U12" s="62" t="n">
        <x:v>46063</x:v>
      </x:c>
      <x:c r="V12" s="62" t="n">
        <x:v>46064</x:v>
      </x:c>
      <x:c r="W12" s="62" t="n">
        <x:v>46069</x:v>
      </x:c>
      <x:c r="X12" s="62" t="n">
        <x:v>46067</x:v>
      </x:c>
      <x:c r="Y12" s="60" t="str">
        <x:v>已签收</x:v>
      </x:c>
      <x:c r="Z12" s="60" t="str">
        <x:v>已签收</x:v>
      </x:c>
      <x:c r="AA12" s="60" t="str">
        <x:v>已完成</x:v>
      </x:c>
      <x:c r="AB12" s="60" t="str">
        <x:v>已完成</x:v>
      </x:c>
      <x:c r="AC12" s="60" t="str">
        <x:v>已完成</x:v>
      </x:c>
      <x:c r="AD12" s="60" t="str">
        <x:v>已完成</x:v>
      </x:c>
      <x:c r="AE12" s="60" t="str">
        <x:v>已完成</x:v>
      </x:c>
      <x:c r="AF12" s="81" t="n">
        <x:f>COUNTIF(AA12:AE12,"已完成")/5</x:f>
        <x:v>1</x:v>
      </x:c>
      <x:c r="AG12" s="75" t="str">
        <x:f>IF(U12&lt;&gt;"","",T12-'基础参数'!$O$2)</x:f>
      </x:c>
      <x:c r="AH12" s="75" t="str">
        <x:f>IF(X12&lt;&gt;"","已完成",IF(U12&lt;&gt;"",IF(U12&gt;T12,"延迟出库","运输中"),IF(T12&lt;'基础参数'!$O$2,"已逾期",IF(T12-'基础参数'!$O$2&lt;=2,"红色预警",IF(T12-'基础参数'!$O$2&lt;=7,"黄色预警","正常")))))</x:f>
        <x:v>已完成</x:v>
      </x:c>
      <x:c r="AI12" s="27" t="str">
        <x:v>无异常</x:v>
      </x:c>
      <x:c r="AJ12" s="27" t="str">
        <x:v>-</x:v>
      </x:c>
      <x:c r="AK12" s="75" t="str">
        <x:f>IFERROR(VLOOKUP(AI12,'基础参数'!$N$5:$S$19,4,FALSE),"-")</x:f>
        <x:v>-</x:v>
      </x:c>
      <x:c r="AL12" s="33"/>
      <x:c r="AM12" s="27" t="str">
        <x:v>不适用</x:v>
      </x:c>
      <x:c r="AN12" s="27" t="str">
        <x:v>无异常</x:v>
      </x:c>
      <x:c r="AO12" s="69" t="str"/>
      <x:c r="AP12" s="69" t="str"/>
      <x:c r="AQ12" s="75" t="str">
        <x:f>IF(X12="","",IF(X12&lt;=W12,"是","否"))</x:f>
        <x:v>是</x:v>
      </x:c>
      <x:c r="AR12" s="75" t="str">
        <x:f>IFERROR(VLOOKUP(AI12,'基础参数'!$N$5:$S$19,2,FALSE),"无异常")</x:f>
        <x:v>无异常</x:v>
      </x:c>
    </x:row>
    <x:row r="13" ht="34" customHeight="1">
      <x:c r="A13" s="49" t="str">
        <x:v>PO-26-008</x:v>
      </x:c>
      <x:c r="B13" s="50" t="n">
        <x:v>46037</x:v>
      </x:c>
      <x:c r="C13" s="72" t="str">
        <x:v>C001</x:v>
      </x:c>
      <x:c r="D13" s="75" t="str">
        <x:f>IFERROR(VLOOKUP(C13,'基础参数'!$A$5:$E$22,2,FALSE),"")</x:f>
        <x:v>NordTrail GmbH</x:v>
      </x:c>
      <x:c r="E13" s="75" t="str">
        <x:f>IFERROR(VLOOKUP(C13,'基础参数'!$A$5:$E$22,3,FALSE),"")</x:f>
        <x:v>德国</x:v>
      </x:c>
      <x:c r="F13" s="75" t="str">
        <x:f>IFERROR(VLOOKUP(C13,'基础参数'!$A$5:$E$22,4,FALSE),"")</x:f>
        <x:v>欧洲</x:v>
      </x:c>
      <x:c r="G13" s="72" t="str">
        <x:v>SLP-120</x:v>
      </x:c>
      <x:c r="H13" s="75" t="str">
        <x:f>IFERROR(VLOOKUP(G13,'基础参数'!$G$5:$L$16,2,FALSE),"")</x:f>
        <x:v>三季木乃伊睡袋</x:v>
      </x:c>
      <x:c r="I13" s="75" t="str">
        <x:f>IFERROR(VLOOKUP(G13,'基础参数'!$G$5:$L$16,3,FALSE),"")</x:f>
        <x:v>睡袋</x:v>
      </x:c>
      <x:c r="J13" s="58" t="n">
        <x:v>1450</x:v>
      </x:c>
      <x:c r="K13" s="59" t="n">
        <x:v>31.77</x:v>
      </x:c>
      <x:c r="L13" s="60" t="str">
        <x:v>EUR</x:v>
      </x:c>
      <x:c r="M13" s="78" t="n">
        <x:f>J13*K13</x:f>
        <x:v>46066.5</x:v>
      </x:c>
      <x:c r="N13" s="60" t="str">
        <x:v>FOB</x:v>
      </x:c>
      <x:c r="O13" s="60" t="str">
        <x:v>海运</x:v>
      </x:c>
      <x:c r="P13" s="60" t="str">
        <x:v>COSCO</x:v>
      </x:c>
      <x:c r="Q13" s="60" t="str">
        <x:v>已收款</x:v>
      </x:c>
      <x:c r="R13" s="62" t="n">
        <x:v>46066</x:v>
      </x:c>
      <x:c r="S13" s="62" t="n">
        <x:v>46065</x:v>
      </x:c>
      <x:c r="T13" s="62" t="n">
        <x:v>46070</x:v>
      </x:c>
      <x:c r="U13" s="62" t="n">
        <x:v>46069</x:v>
      </x:c>
      <x:c r="V13" s="62" t="n">
        <x:v>46070</x:v>
      </x:c>
      <x:c r="W13" s="62" t="n">
        <x:v>46102</x:v>
      </x:c>
      <x:c r="X13" s="62" t="n">
        <x:v>46100</x:v>
      </x:c>
      <x:c r="Y13" s="60" t="str">
        <x:v>已签收</x:v>
      </x:c>
      <x:c r="Z13" s="60" t="str">
        <x:v>已签收</x:v>
      </x:c>
      <x:c r="AA13" s="60" t="str">
        <x:v>已完成</x:v>
      </x:c>
      <x:c r="AB13" s="60" t="str">
        <x:v>已完成</x:v>
      </x:c>
      <x:c r="AC13" s="60" t="str">
        <x:v>已完成</x:v>
      </x:c>
      <x:c r="AD13" s="60" t="str">
        <x:v>已完成</x:v>
      </x:c>
      <x:c r="AE13" s="60" t="str">
        <x:v>已完成</x:v>
      </x:c>
      <x:c r="AF13" s="81" t="n">
        <x:f>COUNTIF(AA13:AE13,"已完成")/5</x:f>
        <x:v>1</x:v>
      </x:c>
      <x:c r="AG13" s="75" t="str">
        <x:f>IF(U13&lt;&gt;"","",T13-'基础参数'!$O$2)</x:f>
      </x:c>
      <x:c r="AH13" s="75" t="str">
        <x:f>IF(X13&lt;&gt;"","已完成",IF(U13&lt;&gt;"",IF(U13&gt;T13,"延迟出库","运输中"),IF(T13&lt;'基础参数'!$O$2,"已逾期",IF(T13-'基础参数'!$O$2&lt;=2,"红色预警",IF(T13-'基础参数'!$O$2&lt;=7,"黄色预警","正常")))))</x:f>
        <x:v>已完成</x:v>
      </x:c>
      <x:c r="AI13" s="27" t="str">
        <x:v>无异常</x:v>
      </x:c>
      <x:c r="AJ13" s="27" t="str">
        <x:v>-</x:v>
      </x:c>
      <x:c r="AK13" s="75" t="str">
        <x:f>IFERROR(VLOOKUP(AI13,'基础参数'!$N$5:$S$19,4,FALSE),"-")</x:f>
        <x:v>-</x:v>
      </x:c>
      <x:c r="AL13" s="33"/>
      <x:c r="AM13" s="27" t="str">
        <x:v>不适用</x:v>
      </x:c>
      <x:c r="AN13" s="27" t="str">
        <x:v>无异常</x:v>
      </x:c>
      <x:c r="AO13" s="69" t="str"/>
      <x:c r="AP13" s="69" t="str"/>
      <x:c r="AQ13" s="75" t="str">
        <x:f>IF(X13="","",IF(X13&lt;=W13,"是","否"))</x:f>
        <x:v>是</x:v>
      </x:c>
      <x:c r="AR13" s="75" t="str">
        <x:f>IFERROR(VLOOKUP(AI13,'基础参数'!$N$5:$S$19,2,FALSE),"无异常")</x:f>
        <x:v>无异常</x:v>
      </x:c>
    </x:row>
    <x:row r="14" ht="34" customHeight="1">
      <x:c r="A14" s="49" t="str">
        <x:v>PO-26-009</x:v>
      </x:c>
      <x:c r="B14" s="50" t="n">
        <x:v>46039</x:v>
      </x:c>
      <x:c r="C14" s="72" t="str">
        <x:v>C007</x:v>
      </x:c>
      <x:c r="D14" s="75" t="str">
        <x:f>IFERROR(VLOOKUP(C14,'基础参数'!$A$5:$E$22,2,FALSE),"")</x:f>
        <x:v>Summit Supply Inc.</x:v>
      </x:c>
      <x:c r="E14" s="75" t="str">
        <x:f>IFERROR(VLOOKUP(C14,'基础参数'!$A$5:$E$22,3,FALSE),"")</x:f>
        <x:v>美国</x:v>
      </x:c>
      <x:c r="F14" s="75" t="str">
        <x:f>IFERROR(VLOOKUP(C14,'基础参数'!$A$5:$E$22,4,FALSE),"")</x:f>
        <x:v>北美</x:v>
      </x:c>
      <x:c r="G14" s="72" t="str">
        <x:v>LGT-240</x:v>
      </x:c>
      <x:c r="H14" s="75" t="str">
        <x:f>IFERROR(VLOOKUP(G14,'基础参数'!$G$5:$L$16,2,FALSE),"")</x:f>
        <x:v>太阳能营地灯串</x:v>
      </x:c>
      <x:c r="I14" s="75" t="str">
        <x:f>IFERROR(VLOOKUP(G14,'基础参数'!$G$5:$L$16,3,FALSE),"")</x:f>
        <x:v>露营照明</x:v>
      </x:c>
      <x:c r="J14" s="58" t="n">
        <x:v>1000</x:v>
      </x:c>
      <x:c r="K14" s="59" t="n">
        <x:v>28.07</x:v>
      </x:c>
      <x:c r="L14" s="60" t="str">
        <x:v>USD</x:v>
      </x:c>
      <x:c r="M14" s="78" t="n">
        <x:f>J14*K14</x:f>
        <x:v>28070</x:v>
      </x:c>
      <x:c r="N14" s="60" t="str">
        <x:v>CIF</x:v>
      </x:c>
      <x:c r="O14" s="60" t="str">
        <x:v>海运</x:v>
      </x:c>
      <x:c r="P14" s="60" t="str">
        <x:v>COSCO</x:v>
      </x:c>
      <x:c r="Q14" s="60" t="str">
        <x:v>已收款</x:v>
      </x:c>
      <x:c r="R14" s="62" t="n">
        <x:v>46064</x:v>
      </x:c>
      <x:c r="S14" s="62" t="n">
        <x:v>46064</x:v>
      </x:c>
      <x:c r="T14" s="62" t="n">
        <x:v>46068</x:v>
      </x:c>
      <x:c r="U14" s="62" t="n">
        <x:v>46069</x:v>
      </x:c>
      <x:c r="V14" s="62" t="n">
        <x:v>46070</x:v>
      </x:c>
      <x:c r="W14" s="62" t="n">
        <x:v>46102</x:v>
      </x:c>
      <x:c r="X14" s="62" t="n">
        <x:v>46104</x:v>
      </x:c>
      <x:c r="Y14" s="60" t="str">
        <x:v>已签收</x:v>
      </x:c>
      <x:c r="Z14" s="60" t="str">
        <x:v>已签收</x:v>
      </x:c>
      <x:c r="AA14" s="60" t="str">
        <x:v>已完成</x:v>
      </x:c>
      <x:c r="AB14" s="60" t="str">
        <x:v>已完成</x:v>
      </x:c>
      <x:c r="AC14" s="60" t="str">
        <x:v>已完成</x:v>
      </x:c>
      <x:c r="AD14" s="60" t="str">
        <x:v>已完成</x:v>
      </x:c>
      <x:c r="AE14" s="60" t="str">
        <x:v>已完成</x:v>
      </x:c>
      <x:c r="AF14" s="81" t="n">
        <x:f>COUNTIF(AA14:AE14,"已完成")/5</x:f>
        <x:v>1</x:v>
      </x:c>
      <x:c r="AG14" s="75" t="str">
        <x:f>IF(U14&lt;&gt;"","",T14-'基础参数'!$O$2)</x:f>
      </x:c>
      <x:c r="AH14" s="75" t="str">
        <x:f>IF(X14&lt;&gt;"","已完成",IF(U14&lt;&gt;"",IF(U14&gt;T14,"延迟出库","运输中"),IF(T14&lt;'基础参数'!$O$2,"已逾期",IF(T14-'基础参数'!$O$2&lt;=2,"红色预警",IF(T14-'基础参数'!$O$2&lt;=7,"黄色预警","正常")))))</x:f>
        <x:v>已完成</x:v>
      </x:c>
      <x:c r="AI14" s="27" t="str">
        <x:v>无异常</x:v>
      </x:c>
      <x:c r="AJ14" s="27" t="str">
        <x:v>-</x:v>
      </x:c>
      <x:c r="AK14" s="75" t="str">
        <x:f>IFERROR(VLOOKUP(AI14,'基础参数'!$N$5:$S$19,4,FALSE),"-")</x:f>
        <x:v>-</x:v>
      </x:c>
      <x:c r="AL14" s="33"/>
      <x:c r="AM14" s="27" t="str">
        <x:v>不适用</x:v>
      </x:c>
      <x:c r="AN14" s="27" t="str">
        <x:v>无异常</x:v>
      </x:c>
      <x:c r="AO14" s="69" t="str"/>
      <x:c r="AP14" s="69" t="str"/>
      <x:c r="AQ14" s="75" t="str">
        <x:f>IF(X14="","",IF(X14&lt;=W14,"是","否"))</x:f>
        <x:v>否</x:v>
      </x:c>
      <x:c r="AR14" s="75" t="str">
        <x:f>IFERROR(VLOOKUP(AI14,'基础参数'!$N$5:$S$19,2,FALSE),"无异常")</x:f>
        <x:v>无异常</x:v>
      </x:c>
    </x:row>
    <x:row r="15" ht="34" customHeight="1">
      <x:c r="A15" s="49" t="str">
        <x:v>PO-26-010</x:v>
      </x:c>
      <x:c r="B15" s="50" t="n">
        <x:v>46040</x:v>
      </x:c>
      <x:c r="C15" s="72" t="str">
        <x:v>C012</x:v>
      </x:c>
      <x:c r="D15" s="75" t="str">
        <x:f>IFERROR(VLOOKUP(C15,'基础参数'!$A$5:$E$22,2,FALSE),"")</x:f>
        <x:v>Outback Living Pty</x:v>
      </x:c>
      <x:c r="E15" s="75" t="str">
        <x:f>IFERROR(VLOOKUP(C15,'基础参数'!$A$5:$E$22,3,FALSE),"")</x:f>
        <x:v>澳大利亚</x:v>
      </x:c>
      <x:c r="F15" s="75" t="str">
        <x:f>IFERROR(VLOOKUP(C15,'基础参数'!$A$5:$E$22,4,FALSE),"")</x:f>
        <x:v>澳洲</x:v>
      </x:c>
      <x:c r="G15" s="72" t="str">
        <x:v>SLP-120</x:v>
      </x:c>
      <x:c r="H15" s="75" t="str">
        <x:f>IFERROR(VLOOKUP(G15,'基础参数'!$G$5:$L$16,2,FALSE),"")</x:f>
        <x:v>三季木乃伊睡袋</x:v>
      </x:c>
      <x:c r="I15" s="75" t="str">
        <x:f>IFERROR(VLOOKUP(G15,'基础参数'!$G$5:$L$16,3,FALSE),"")</x:f>
        <x:v>睡袋</x:v>
      </x:c>
      <x:c r="J15" s="58" t="n">
        <x:v>2150</x:v>
      </x:c>
      <x:c r="K15" s="59" t="n">
        <x:v>34.39</x:v>
      </x:c>
      <x:c r="L15" s="60" t="str">
        <x:v>USD</x:v>
      </x:c>
      <x:c r="M15" s="78" t="n">
        <x:f>J15*K15</x:f>
        <x:v>73938.5</x:v>
      </x:c>
      <x:c r="N15" s="60" t="str">
        <x:v>FOB</x:v>
      </x:c>
      <x:c r="O15" s="60" t="str">
        <x:v>海运</x:v>
      </x:c>
      <x:c r="P15" s="60" t="str">
        <x:v>CMA CGM</x:v>
      </x:c>
      <x:c r="Q15" s="60" t="str">
        <x:v>已收款</x:v>
      </x:c>
      <x:c r="R15" s="62" t="n">
        <x:v>46069</x:v>
      </x:c>
      <x:c r="S15" s="62" t="n">
        <x:v>46076</x:v>
      </x:c>
      <x:c r="T15" s="62" t="n">
        <x:v>46073</x:v>
      </x:c>
      <x:c r="U15" s="62" t="n">
        <x:v>46079</x:v>
      </x:c>
      <x:c r="V15" s="62" t="n">
        <x:v>46080</x:v>
      </x:c>
      <x:c r="W15" s="62" t="n">
        <x:v>46112</x:v>
      </x:c>
      <x:c r="X15" s="62" t="n">
        <x:v>46111</x:v>
      </x:c>
      <x:c r="Y15" s="60" t="str">
        <x:v>已签收</x:v>
      </x:c>
      <x:c r="Z15" s="60" t="str">
        <x:v>已签收</x:v>
      </x:c>
      <x:c r="AA15" s="60" t="str">
        <x:v>已完成</x:v>
      </x:c>
      <x:c r="AB15" s="60" t="str">
        <x:v>已完成</x:v>
      </x:c>
      <x:c r="AC15" s="60" t="str">
        <x:v>已完成</x:v>
      </x:c>
      <x:c r="AD15" s="60" t="str">
        <x:v>已完成</x:v>
      </x:c>
      <x:c r="AE15" s="60" t="str">
        <x:v>已完成</x:v>
      </x:c>
      <x:c r="AF15" s="81" t="n">
        <x:f>COUNTIF(AA15:AE15,"已完成")/5</x:f>
        <x:v>1</x:v>
      </x:c>
      <x:c r="AG15" s="75" t="str">
        <x:f>IF(U15&lt;&gt;"","",T15-'基础参数'!$O$2)</x:f>
      </x:c>
      <x:c r="AH15" s="75" t="str">
        <x:f>IF(X15&lt;&gt;"","已完成",IF(U15&lt;&gt;"",IF(U15&gt;T15,"延迟出库","运输中"),IF(T15&lt;'基础参数'!$O$2,"已逾期",IF(T15-'基础参数'!$O$2&lt;=2,"红色预警",IF(T15-'基础参数'!$O$2&lt;=7,"黄色预警","正常")))))</x:f>
        <x:v>已完成</x:v>
      </x:c>
      <x:c r="AI15" s="27" t="str">
        <x:v>客户临时改单</x:v>
      </x:c>
      <x:c r="AJ15" s="27" t="str">
        <x:v>B级</x:v>
      </x:c>
      <x:c r="AK15" s="75" t="str">
        <x:f>IFERROR(VLOOKUP(AI15,'基础参数'!$N$5:$S$19,4,FALSE),"-")</x:f>
        <x:v>外贸跟单</x:v>
      </x:c>
      <x:c r="AL15" s="33" t="n">
        <x:v>46071</x:v>
      </x:c>
      <x:c r="AM15" s="27" t="str">
        <x:v>已通知</x:v>
      </x:c>
      <x:c r="AN15" s="27" t="str">
        <x:v>已关闭</x:v>
      </x:c>
      <x:c r="AO15" s="69" t="str">
        <x:v>客户临时改单导致计划节点存在一般偏差</x:v>
      </x:c>
      <x:c r="AP15" s="69" t="str">
        <x:v>已完成补救并取得客户确认</x:v>
      </x:c>
      <x:c r="AQ15" s="75" t="str">
        <x:f>IF(X15="","",IF(X15&lt;=W15,"是","否"))</x:f>
        <x:v>是</x:v>
      </x:c>
      <x:c r="AR15" s="75" t="str">
        <x:f>IFERROR(VLOOKUP(AI15,'基础参数'!$N$5:$S$19,2,FALSE),"无异常")</x:f>
        <x:v>订单与商务</x:v>
      </x:c>
    </x:row>
    <x:row r="16" ht="34" customHeight="1">
      <x:c r="A16" s="49" t="str">
        <x:v>PO-26-011</x:v>
      </x:c>
      <x:c r="B16" s="50" t="n">
        <x:v>46042</x:v>
      </x:c>
      <x:c r="C16" s="72" t="str">
        <x:v>C016</x:v>
      </x:c>
      <x:c r="D16" s="75" t="str">
        <x:f>IFERROR(VLOOKUP(C16,'基础参数'!$A$5:$E$22,2,FALSE),"")</x:f>
        <x:v>Sakura Field Co.</x:v>
      </x:c>
      <x:c r="E16" s="75" t="str">
        <x:f>IFERROR(VLOOKUP(C16,'基础参数'!$A$5:$E$22,3,FALSE),"")</x:f>
        <x:v>日本</x:v>
      </x:c>
      <x:c r="F16" s="75" t="str">
        <x:f>IFERROR(VLOOKUP(C16,'基础参数'!$A$5:$E$22,4,FALSE),"")</x:f>
        <x:v>亚洲</x:v>
      </x:c>
      <x:c r="G16" s="72" t="str">
        <x:v>TEN-410</x:v>
      </x:c>
      <x:c r="H16" s="75" t="str">
        <x:f>IFERROR(VLOOKUP(G16,'基础参数'!$G$5:$L$16,2,FALSE),"")</x:f>
        <x:v>四人家庭帐篷</x:v>
      </x:c>
      <x:c r="I16" s="75" t="str">
        <x:f>IFERROR(VLOOKUP(G16,'基础参数'!$G$5:$L$16,3,FALSE),"")</x:f>
        <x:v>帐篷</x:v>
      </x:c>
      <x:c r="J16" s="58" t="n">
        <x:v>750</x:v>
      </x:c>
      <x:c r="K16" s="59" t="n">
        <x:v>99.4</x:v>
      </x:c>
      <x:c r="L16" s="60" t="str">
        <x:v>USD</x:v>
      </x:c>
      <x:c r="M16" s="78" t="n">
        <x:f>J16*K16</x:f>
        <x:v>74550</x:v>
      </x:c>
      <x:c r="N16" s="60" t="str">
        <x:v>DDP</x:v>
      </x:c>
      <x:c r="O16" s="60" t="str">
        <x:v>海运</x:v>
      </x:c>
      <x:c r="P16" s="60" t="str">
        <x:v>COSCO</x:v>
      </x:c>
      <x:c r="Q16" s="60" t="str">
        <x:v>已收款</x:v>
      </x:c>
      <x:c r="R16" s="62" t="n">
        <x:v>46080</x:v>
      </x:c>
      <x:c r="S16" s="62" t="n">
        <x:v>46081</x:v>
      </x:c>
      <x:c r="T16" s="62" t="n">
        <x:v>46084</x:v>
      </x:c>
      <x:c r="U16" s="62" t="n">
        <x:v>46085</x:v>
      </x:c>
      <x:c r="V16" s="62" t="n">
        <x:v>46086</x:v>
      </x:c>
      <x:c r="W16" s="62" t="n">
        <x:v>46118</x:v>
      </x:c>
      <x:c r="X16" s="62" t="n">
        <x:v>46116</x:v>
      </x:c>
      <x:c r="Y16" s="60" t="str">
        <x:v>已签收</x:v>
      </x:c>
      <x:c r="Z16" s="60" t="str">
        <x:v>已签收</x:v>
      </x:c>
      <x:c r="AA16" s="60" t="str">
        <x:v>已完成</x:v>
      </x:c>
      <x:c r="AB16" s="60" t="str">
        <x:v>已完成</x:v>
      </x:c>
      <x:c r="AC16" s="60" t="str">
        <x:v>已完成</x:v>
      </x:c>
      <x:c r="AD16" s="60" t="str">
        <x:v>已完成</x:v>
      </x:c>
      <x:c r="AE16" s="60" t="str">
        <x:v>已完成</x:v>
      </x:c>
      <x:c r="AF16" s="81" t="n">
        <x:f>COUNTIF(AA16:AE16,"已完成")/5</x:f>
        <x:v>1</x:v>
      </x:c>
      <x:c r="AG16" s="75" t="str">
        <x:f>IF(U16&lt;&gt;"","",T16-'基础参数'!$O$2)</x:f>
      </x:c>
      <x:c r="AH16" s="75" t="str">
        <x:f>IF(X16&lt;&gt;"","已完成",IF(U16&lt;&gt;"",IF(U16&gt;T16,"延迟出库","运输中"),IF(T16&lt;'基础参数'!$O$2,"已逾期",IF(T16-'基础参数'!$O$2&lt;=2,"红色预警",IF(T16-'基础参数'!$O$2&lt;=7,"黄色预警","正常")))))</x:f>
        <x:v>已完成</x:v>
      </x:c>
      <x:c r="AI16" s="27" t="str">
        <x:v>无异常</x:v>
      </x:c>
      <x:c r="AJ16" s="27" t="str">
        <x:v>-</x:v>
      </x:c>
      <x:c r="AK16" s="75" t="str">
        <x:f>IFERROR(VLOOKUP(AI16,'基础参数'!$N$5:$S$19,4,FALSE),"-")</x:f>
        <x:v>-</x:v>
      </x:c>
      <x:c r="AL16" s="33"/>
      <x:c r="AM16" s="27" t="str">
        <x:v>不适用</x:v>
      </x:c>
      <x:c r="AN16" s="27" t="str">
        <x:v>无异常</x:v>
      </x:c>
      <x:c r="AO16" s="69" t="str"/>
      <x:c r="AP16" s="69" t="str"/>
      <x:c r="AQ16" s="75" t="str">
        <x:f>IF(X16="","",IF(X16&lt;=W16,"是","否"))</x:f>
        <x:v>是</x:v>
      </x:c>
      <x:c r="AR16" s="75" t="str">
        <x:f>IFERROR(VLOOKUP(AI16,'基础参数'!$N$5:$S$19,2,FALSE),"无异常")</x:f>
        <x:v>无异常</x:v>
      </x:c>
    </x:row>
    <x:row r="17" ht="34" customHeight="1">
      <x:c r="A17" s="49" t="str">
        <x:v>PO-26-012</x:v>
      </x:c>
      <x:c r="B17" s="50" t="n">
        <x:v>46044</x:v>
      </x:c>
      <x:c r="C17" s="72" t="str">
        <x:v>C006</x:v>
      </x:c>
      <x:c r="D17" s="75" t="str">
        <x:f>IFERROR(VLOOKUP(C17,'基础参数'!$A$5:$E$22,2,FALSE),"")</x:f>
        <x:v>Iberia Trek SL</x:v>
      </x:c>
      <x:c r="E17" s="75" t="str">
        <x:f>IFERROR(VLOOKUP(C17,'基础参数'!$A$5:$E$22,3,FALSE),"")</x:f>
        <x:v>西班牙</x:v>
      </x:c>
      <x:c r="F17" s="75" t="str">
        <x:f>IFERROR(VLOOKUP(C17,'基础参数'!$A$5:$E$22,4,FALSE),"")</x:f>
        <x:v>欧洲</x:v>
      </x:c>
      <x:c r="G17" s="72" t="str">
        <x:v>MAT-230</x:v>
      </x:c>
      <x:c r="H17" s="75" t="str">
        <x:f>IFERROR(VLOOKUP(G17,'基础参数'!$G$5:$L$16,2,FALSE),"")</x:f>
        <x:v>自充气露营垫</x:v>
      </x:c>
      <x:c r="I17" s="75" t="str">
        <x:f>IFERROR(VLOOKUP(G17,'基础参数'!$G$5:$L$16,3,FALSE),"")</x:f>
        <x:v>野餐垫</x:v>
      </x:c>
      <x:c r="J17" s="58" t="n">
        <x:v>1100</x:v>
      </x:c>
      <x:c r="K17" s="59" t="n">
        <x:v>37.58</x:v>
      </x:c>
      <x:c r="L17" s="60" t="str">
        <x:v>EUR</x:v>
      </x:c>
      <x:c r="M17" s="78" t="n">
        <x:f>J17*K17</x:f>
        <x:v>41338</x:v>
      </x:c>
      <x:c r="N17" s="60" t="str">
        <x:v>FOB</x:v>
      </x:c>
      <x:c r="O17" s="60" t="str">
        <x:v>空运</x:v>
      </x:c>
      <x:c r="P17" s="60" t="str">
        <x:v>Kuehne+Nagel</x:v>
      </x:c>
      <x:c r="Q17" s="60" t="str">
        <x:v>已收款</x:v>
      </x:c>
      <x:c r="R17" s="62" t="n">
        <x:v>46069</x:v>
      </x:c>
      <x:c r="S17" s="62" t="n">
        <x:v>46067</x:v>
      </x:c>
      <x:c r="T17" s="62" t="n">
        <x:v>46073</x:v>
      </x:c>
      <x:c r="U17" s="62" t="n">
        <x:v>46072</x:v>
      </x:c>
      <x:c r="V17" s="62" t="n">
        <x:v>46073</x:v>
      </x:c>
      <x:c r="W17" s="62" t="n">
        <x:v>46081</x:v>
      </x:c>
      <x:c r="X17" s="62" t="n">
        <x:v>46079</x:v>
      </x:c>
      <x:c r="Y17" s="60" t="str">
        <x:v>已签收</x:v>
      </x:c>
      <x:c r="Z17" s="60" t="str">
        <x:v>已签收</x:v>
      </x:c>
      <x:c r="AA17" s="60" t="str">
        <x:v>已完成</x:v>
      </x:c>
      <x:c r="AB17" s="60" t="str">
        <x:v>已完成</x:v>
      </x:c>
      <x:c r="AC17" s="60" t="str">
        <x:v>已完成</x:v>
      </x:c>
      <x:c r="AD17" s="60" t="str">
        <x:v>已完成</x:v>
      </x:c>
      <x:c r="AE17" s="60" t="str">
        <x:v>已完成</x:v>
      </x:c>
      <x:c r="AF17" s="81" t="n">
        <x:f>COUNTIF(AA17:AE17,"已完成")/5</x:f>
        <x:v>1</x:v>
      </x:c>
      <x:c r="AG17" s="75" t="str">
        <x:f>IF(U17&lt;&gt;"","",T17-'基础参数'!$O$2)</x:f>
      </x:c>
      <x:c r="AH17" s="75" t="str">
        <x:f>IF(X17&lt;&gt;"","已完成",IF(U17&lt;&gt;"",IF(U17&gt;T17,"延迟出库","运输中"),IF(T17&lt;'基础参数'!$O$2,"已逾期",IF(T17-'基础参数'!$O$2&lt;=2,"红色预警",IF(T17-'基础参数'!$O$2&lt;=7,"黄色预警","正常")))))</x:f>
        <x:v>已完成</x:v>
      </x:c>
      <x:c r="AI17" s="27" t="str">
        <x:v>无异常</x:v>
      </x:c>
      <x:c r="AJ17" s="27" t="str">
        <x:v>-</x:v>
      </x:c>
      <x:c r="AK17" s="75" t="str">
        <x:f>IFERROR(VLOOKUP(AI17,'基础参数'!$N$5:$S$19,4,FALSE),"-")</x:f>
        <x:v>-</x:v>
      </x:c>
      <x:c r="AL17" s="33"/>
      <x:c r="AM17" s="27" t="str">
        <x:v>不适用</x:v>
      </x:c>
      <x:c r="AN17" s="27" t="str">
        <x:v>无异常</x:v>
      </x:c>
      <x:c r="AO17" s="69" t="str"/>
      <x:c r="AP17" s="69" t="str"/>
      <x:c r="AQ17" s="75" t="str">
        <x:f>IF(X17="","",IF(X17&lt;=W17,"是","否"))</x:f>
        <x:v>是</x:v>
      </x:c>
      <x:c r="AR17" s="75" t="str">
        <x:f>IFERROR(VLOOKUP(AI17,'基础参数'!$N$5:$S$19,2,FALSE),"无异常")</x:f>
        <x:v>无异常</x:v>
      </x:c>
    </x:row>
    <x:row r="18" ht="34" customHeight="1">
      <x:c r="A18" s="49" t="str">
        <x:v>PO-26-013</x:v>
      </x:c>
      <x:c r="B18" s="50" t="n">
        <x:v>46046</x:v>
      </x:c>
      <x:c r="C18" s="72" t="str">
        <x:v>C010</x:v>
      </x:c>
      <x:c r="D18" s="75" t="str">
        <x:f>IFERROR(VLOOKUP(C18,'基础参数'!$A$5:$E$22,2,FALSE),"")</x:f>
        <x:v>TrailWorks Co.</x:v>
      </x:c>
      <x:c r="E18" s="75" t="str">
        <x:f>IFERROR(VLOOKUP(C18,'基础参数'!$A$5:$E$22,3,FALSE),"")</x:f>
        <x:v>美国</x:v>
      </x:c>
      <x:c r="F18" s="75" t="str">
        <x:f>IFERROR(VLOOKUP(C18,'基础参数'!$A$5:$E$22,4,FALSE),"")</x:f>
        <x:v>北美</x:v>
      </x:c>
      <x:c r="G18" s="72" t="str">
        <x:v>TEN-410</x:v>
      </x:c>
      <x:c r="H18" s="75" t="str">
        <x:f>IFERROR(VLOOKUP(G18,'基础参数'!$G$5:$L$16,2,FALSE),"")</x:f>
        <x:v>四人家庭帐篷</x:v>
      </x:c>
      <x:c r="I18" s="75" t="str">
        <x:f>IFERROR(VLOOKUP(G18,'基础参数'!$G$5:$L$16,3,FALSE),"")</x:f>
        <x:v>帐篷</x:v>
      </x:c>
      <x:c r="J18" s="58" t="n">
        <x:v>400</x:v>
      </x:c>
      <x:c r="K18" s="59" t="n">
        <x:v>96.74</x:v>
      </x:c>
      <x:c r="L18" s="60" t="str">
        <x:v>USD</x:v>
      </x:c>
      <x:c r="M18" s="78" t="n">
        <x:f>J18*K18</x:f>
        <x:v>38696</x:v>
      </x:c>
      <x:c r="N18" s="60" t="str">
        <x:v>CIF</x:v>
      </x:c>
      <x:c r="O18" s="60" t="str">
        <x:v>国际快递</x:v>
      </x:c>
      <x:c r="P18" s="60" t="str">
        <x:v>UPS</x:v>
      </x:c>
      <x:c r="Q18" s="60" t="str">
        <x:v>已收款</x:v>
      </x:c>
      <x:c r="R18" s="62" t="n">
        <x:v>46084</x:v>
      </x:c>
      <x:c r="S18" s="62" t="n">
        <x:v>46083</x:v>
      </x:c>
      <x:c r="T18" s="62" t="n">
        <x:v>46088</x:v>
      </x:c>
      <x:c r="U18" s="62" t="n">
        <x:v>46088</x:v>
      </x:c>
      <x:c r="V18" s="62" t="n">
        <x:v>46089</x:v>
      </x:c>
      <x:c r="W18" s="62" t="n">
        <x:v>46094</x:v>
      </x:c>
      <x:c r="X18" s="62" t="n">
        <x:v>46092</x:v>
      </x:c>
      <x:c r="Y18" s="60" t="str">
        <x:v>已签收</x:v>
      </x:c>
      <x:c r="Z18" s="60" t="str">
        <x:v>已签收</x:v>
      </x:c>
      <x:c r="AA18" s="60" t="str">
        <x:v>已完成</x:v>
      </x:c>
      <x:c r="AB18" s="60" t="str">
        <x:v>已完成</x:v>
      </x:c>
      <x:c r="AC18" s="60" t="str">
        <x:v>已完成</x:v>
      </x:c>
      <x:c r="AD18" s="60" t="str">
        <x:v>已完成</x:v>
      </x:c>
      <x:c r="AE18" s="60" t="str">
        <x:v>已完成</x:v>
      </x:c>
      <x:c r="AF18" s="81" t="n">
        <x:f>COUNTIF(AA18:AE18,"已完成")/5</x:f>
        <x:v>1</x:v>
      </x:c>
      <x:c r="AG18" s="75" t="str">
        <x:f>IF(U18&lt;&gt;"","",T18-'基础参数'!$O$2)</x:f>
      </x:c>
      <x:c r="AH18" s="75" t="str">
        <x:f>IF(X18&lt;&gt;"","已完成",IF(U18&lt;&gt;"",IF(U18&gt;T18,"延迟出库","运输中"),IF(T18&lt;'基础参数'!$O$2,"已逾期",IF(T18-'基础参数'!$O$2&lt;=2,"红色预警",IF(T18-'基础参数'!$O$2&lt;=7,"黄色预警","正常")))))</x:f>
        <x:v>已完成</x:v>
      </x:c>
      <x:c r="AI18" s="27" t="str">
        <x:v>无异常</x:v>
      </x:c>
      <x:c r="AJ18" s="27" t="str">
        <x:v>-</x:v>
      </x:c>
      <x:c r="AK18" s="75" t="str">
        <x:f>IFERROR(VLOOKUP(AI18,'基础参数'!$N$5:$S$19,4,FALSE),"-")</x:f>
        <x:v>-</x:v>
      </x:c>
      <x:c r="AL18" s="33"/>
      <x:c r="AM18" s="27" t="str">
        <x:v>不适用</x:v>
      </x:c>
      <x:c r="AN18" s="27" t="str">
        <x:v>无异常</x:v>
      </x:c>
      <x:c r="AO18" s="69" t="str"/>
      <x:c r="AP18" s="69" t="str"/>
      <x:c r="AQ18" s="75" t="str">
        <x:f>IF(X18="","",IF(X18&lt;=W18,"是","否"))</x:f>
        <x:v>是</x:v>
      </x:c>
      <x:c r="AR18" s="75" t="str">
        <x:f>IFERROR(VLOOKUP(AI18,'基础参数'!$N$5:$S$19,2,FALSE),"无异常")</x:f>
        <x:v>无异常</x:v>
      </x:c>
    </x:row>
    <x:row r="19" ht="34" customHeight="1">
      <x:c r="A19" s="49" t="str">
        <x:v>PO-26-014</x:v>
      </x:c>
      <x:c r="B19" s="50" t="n">
        <x:v>46047</x:v>
      </x:c>
      <x:c r="C19" s="72" t="str">
        <x:v>C014</x:v>
      </x:c>
      <x:c r="D19" s="75" t="str">
        <x:f>IFERROR(VLOOKUP(C19,'基础参数'!$A$5:$E$22,2,FALSE),"")</x:f>
        <x:v>Kiwi Trek Ltd.</x:v>
      </x:c>
      <x:c r="E19" s="75" t="str">
        <x:f>IFERROR(VLOOKUP(C19,'基础参数'!$A$5:$E$22,3,FALSE),"")</x:f>
        <x:v>新西兰</x:v>
      </x:c>
      <x:c r="F19" s="75" t="str">
        <x:f>IFERROR(VLOOKUP(C19,'基础参数'!$A$5:$E$22,4,FALSE),"")</x:f>
        <x:v>澳洲</x:v>
      </x:c>
      <x:c r="G19" s="72" t="str">
        <x:v>CKT-150</x:v>
      </x:c>
      <x:c r="H19" s="75" t="str">
        <x:f>IFERROR(VLOOKUP(G19,'基础参数'!$G$5:$L$16,2,FALSE),"")</x:f>
        <x:v>不锈钢炊具套装</x:v>
      </x:c>
      <x:c r="I19" s="75" t="str">
        <x:f>IFERROR(VLOOKUP(G19,'基础参数'!$G$5:$L$16,3,FALSE),"")</x:f>
        <x:v>户外炊具</x:v>
      </x:c>
      <x:c r="J19" s="58" t="n">
        <x:v>900</x:v>
      </x:c>
      <x:c r="K19" s="59" t="n">
        <x:v>27.46</x:v>
      </x:c>
      <x:c r="L19" s="60" t="str">
        <x:v>USD</x:v>
      </x:c>
      <x:c r="M19" s="78" t="n">
        <x:f>J19*K19</x:f>
        <x:v>24714</x:v>
      </x:c>
      <x:c r="N19" s="60" t="str">
        <x:v>DDP</x:v>
      </x:c>
      <x:c r="O19" s="60" t="str">
        <x:v>国际快递</x:v>
      </x:c>
      <x:c r="P19" s="60" t="str">
        <x:v>DHL Express</x:v>
      </x:c>
      <x:c r="Q19" s="60" t="str">
        <x:v>已收款</x:v>
      </x:c>
      <x:c r="R19" s="62" t="n">
        <x:v>46073</x:v>
      </x:c>
      <x:c r="S19" s="62" t="n">
        <x:v>46084</x:v>
      </x:c>
      <x:c r="T19" s="62" t="n">
        <x:v>46077</x:v>
      </x:c>
      <x:c r="U19" s="62" t="n">
        <x:v>46088</x:v>
      </x:c>
      <x:c r="V19" s="62" t="n">
        <x:v>46089</x:v>
      </x:c>
      <x:c r="W19" s="62" t="n">
        <x:v>46094</x:v>
      </x:c>
      <x:c r="X19" s="62" t="n">
        <x:v>46092</x:v>
      </x:c>
      <x:c r="Y19" s="60" t="str">
        <x:v>已签收</x:v>
      </x:c>
      <x:c r="Z19" s="60" t="str">
        <x:v>已签收</x:v>
      </x:c>
      <x:c r="AA19" s="60" t="str">
        <x:v>已完成</x:v>
      </x:c>
      <x:c r="AB19" s="60" t="str">
        <x:v>已完成</x:v>
      </x:c>
      <x:c r="AC19" s="60" t="str">
        <x:v>已完成</x:v>
      </x:c>
      <x:c r="AD19" s="60" t="str">
        <x:v>已完成</x:v>
      </x:c>
      <x:c r="AE19" s="60" t="str">
        <x:v>已完成</x:v>
      </x:c>
      <x:c r="AF19" s="81" t="n">
        <x:f>COUNTIF(AA19:AE19,"已完成")/5</x:f>
        <x:v>1</x:v>
      </x:c>
      <x:c r="AG19" s="75" t="str">
        <x:f>IF(U19&lt;&gt;"","",T19-'基础参数'!$O$2)</x:f>
      </x:c>
      <x:c r="AH19" s="75" t="str">
        <x:f>IF(X19&lt;&gt;"","已完成",IF(U19&lt;&gt;"",IF(U19&gt;T19,"延迟出库","运输中"),IF(T19&lt;'基础参数'!$O$2,"已逾期",IF(T19-'基础参数'!$O$2&lt;=2,"红色预警",IF(T19-'基础参数'!$O$2&lt;=7,"黄色预警","正常")))))</x:f>
        <x:v>已完成</x:v>
      </x:c>
      <x:c r="AI19" s="27" t="str">
        <x:v>品质返工</x:v>
      </x:c>
      <x:c r="AJ19" s="27" t="str">
        <x:v>A级</x:v>
      </x:c>
      <x:c r="AK19" s="75" t="str">
        <x:f>IFERROR(VLOOKUP(AI19,'基础参数'!$N$5:$S$19,4,FALSE),"-")</x:f>
        <x:v>品质主管</x:v>
      </x:c>
      <x:c r="AL19" s="33" t="n">
        <x:v>46075</x:v>
      </x:c>
      <x:c r="AM19" s="27" t="str">
        <x:v>已通知</x:v>
      </x:c>
      <x:c r="AN19" s="27" t="str">
        <x:v>已关闭</x:v>
      </x:c>
      <x:c r="AO19" s="69" t="str">
        <x:v>品质返工导致计划节点存在重大偏差</x:v>
      </x:c>
      <x:c r="AP19" s="69" t="str">
        <x:v>已完成补救并取得客户确认</x:v>
      </x:c>
      <x:c r="AQ19" s="75" t="str">
        <x:f>IF(X19="","",IF(X19&lt;=W19,"是","否"))</x:f>
        <x:v>是</x:v>
      </x:c>
      <x:c r="AR19" s="75" t="str">
        <x:f>IFERROR(VLOOKUP(AI19,'基础参数'!$N$5:$S$19,2,FALSE),"无异常")</x:f>
        <x:v>生产与备货</x:v>
      </x:c>
    </x:row>
    <x:row r="20" ht="34" customHeight="1">
      <x:c r="A20" s="49" t="str">
        <x:v>PO-26-015</x:v>
      </x:c>
      <x:c r="B20" s="50" t="n">
        <x:v>46049</x:v>
      </x:c>
      <x:c r="C20" s="72" t="str">
        <x:v>C001</x:v>
      </x:c>
      <x:c r="D20" s="75" t="str">
        <x:f>IFERROR(VLOOKUP(C20,'基础参数'!$A$5:$E$22,2,FALSE),"")</x:f>
        <x:v>NordTrail GmbH</x:v>
      </x:c>
      <x:c r="E20" s="75" t="str">
        <x:f>IFERROR(VLOOKUP(C20,'基础参数'!$A$5:$E$22,3,FALSE),"")</x:f>
        <x:v>德国</x:v>
      </x:c>
      <x:c r="F20" s="75" t="str">
        <x:f>IFERROR(VLOOKUP(C20,'基础参数'!$A$5:$E$22,4,FALSE),"")</x:f>
        <x:v>欧洲</x:v>
      </x:c>
      <x:c r="G20" s="72" t="str">
        <x:v>SLP-210</x:v>
      </x:c>
      <x:c r="H20" s="75" t="str">
        <x:f>IFERROR(VLOOKUP(G20,'基础参数'!$G$5:$L$16,2,FALSE),"")</x:f>
        <x:v>双人保暖睡袋</x:v>
      </x:c>
      <x:c r="I20" s="75" t="str">
        <x:f>IFERROR(VLOOKUP(G20,'基础参数'!$G$5:$L$16,3,FALSE),"")</x:f>
        <x:v>睡袋</x:v>
      </x:c>
      <x:c r="J20" s="58" t="n">
        <x:v>2350</x:v>
      </x:c>
      <x:c r="K20" s="59" t="n">
        <x:v>53.85</x:v>
      </x:c>
      <x:c r="L20" s="60" t="str">
        <x:v>EUR</x:v>
      </x:c>
      <x:c r="M20" s="78" t="n">
        <x:f>J20*K20</x:f>
        <x:v>126547.5</x:v>
      </x:c>
      <x:c r="N20" s="60" t="str">
        <x:v>DDP</x:v>
      </x:c>
      <x:c r="O20" s="60" t="str">
        <x:v>海运</x:v>
      </x:c>
      <x:c r="P20" s="60" t="str">
        <x:v>CMA CGM</x:v>
      </x:c>
      <x:c r="Q20" s="60" t="str">
        <x:v>已收款</x:v>
      </x:c>
      <x:c r="R20" s="62" t="n">
        <x:v>46082</x:v>
      </x:c>
      <x:c r="S20" s="62" t="n">
        <x:v>46081</x:v>
      </x:c>
      <x:c r="T20" s="62" t="n">
        <x:v>46086</x:v>
      </x:c>
      <x:c r="U20" s="62" t="n">
        <x:v>46087</x:v>
      </x:c>
      <x:c r="V20" s="62" t="n">
        <x:v>46088</x:v>
      </x:c>
      <x:c r="W20" s="62" t="n">
        <x:v>46120</x:v>
      </x:c>
      <x:c r="X20" s="62" t="n">
        <x:v>46120</x:v>
      </x:c>
      <x:c r="Y20" s="60" t="str">
        <x:v>已签收</x:v>
      </x:c>
      <x:c r="Z20" s="60" t="str">
        <x:v>已签收</x:v>
      </x:c>
      <x:c r="AA20" s="60" t="str">
        <x:v>已完成</x:v>
      </x:c>
      <x:c r="AB20" s="60" t="str">
        <x:v>已完成</x:v>
      </x:c>
      <x:c r="AC20" s="60" t="str">
        <x:v>已完成</x:v>
      </x:c>
      <x:c r="AD20" s="60" t="str">
        <x:v>已完成</x:v>
      </x:c>
      <x:c r="AE20" s="60" t="str">
        <x:v>已完成</x:v>
      </x:c>
      <x:c r="AF20" s="81" t="n">
        <x:f>COUNTIF(AA20:AE20,"已完成")/5</x:f>
        <x:v>1</x:v>
      </x:c>
      <x:c r="AG20" s="75" t="str">
        <x:f>IF(U20&lt;&gt;"","",T20-'基础参数'!$O$2)</x:f>
      </x:c>
      <x:c r="AH20" s="75" t="str">
        <x:f>IF(X20&lt;&gt;"","已完成",IF(U20&lt;&gt;"",IF(U20&gt;T20,"延迟出库","运输中"),IF(T20&lt;'基础参数'!$O$2,"已逾期",IF(T20-'基础参数'!$O$2&lt;=2,"红色预警",IF(T20-'基础参数'!$O$2&lt;=7,"黄色预警","正常")))))</x:f>
        <x:v>已完成</x:v>
      </x:c>
      <x:c r="AI20" s="27" t="str">
        <x:v>无异常</x:v>
      </x:c>
      <x:c r="AJ20" s="27" t="str">
        <x:v>-</x:v>
      </x:c>
      <x:c r="AK20" s="75" t="str">
        <x:f>IFERROR(VLOOKUP(AI20,'基础参数'!$N$5:$S$19,4,FALSE),"-")</x:f>
        <x:v>-</x:v>
      </x:c>
      <x:c r="AL20" s="33"/>
      <x:c r="AM20" s="27" t="str">
        <x:v>不适用</x:v>
      </x:c>
      <x:c r="AN20" s="27" t="str">
        <x:v>无异常</x:v>
      </x:c>
      <x:c r="AO20" s="69" t="str"/>
      <x:c r="AP20" s="69" t="str"/>
      <x:c r="AQ20" s="75" t="str">
        <x:f>IF(X20="","",IF(X20&lt;=W20,"是","否"))</x:f>
        <x:v>是</x:v>
      </x:c>
      <x:c r="AR20" s="75" t="str">
        <x:f>IFERROR(VLOOKUP(AI20,'基础参数'!$N$5:$S$19,2,FALSE),"无异常")</x:f>
        <x:v>无异常</x:v>
      </x:c>
    </x:row>
    <x:row r="21" ht="34" customHeight="1">
      <x:c r="A21" s="49" t="str">
        <x:v>PO-26-016</x:v>
      </x:c>
      <x:c r="B21" s="50" t="n">
        <x:v>46051</x:v>
      </x:c>
      <x:c r="C21" s="72" t="str">
        <x:v>C007</x:v>
      </x:c>
      <x:c r="D21" s="75" t="str">
        <x:f>IFERROR(VLOOKUP(C21,'基础参数'!$A$5:$E$22,2,FALSE),"")</x:f>
        <x:v>Summit Supply Inc.</x:v>
      </x:c>
      <x:c r="E21" s="75" t="str">
        <x:f>IFERROR(VLOOKUP(C21,'基础参数'!$A$5:$E$22,3,FALSE),"")</x:f>
        <x:v>美国</x:v>
      </x:c>
      <x:c r="F21" s="75" t="str">
        <x:f>IFERROR(VLOOKUP(C21,'基础参数'!$A$5:$E$22,4,FALSE),"")</x:f>
        <x:v>北美</x:v>
      </x:c>
      <x:c r="G21" s="72" t="str">
        <x:v>CKT-150</x:v>
      </x:c>
      <x:c r="H21" s="75" t="str">
        <x:f>IFERROR(VLOOKUP(G21,'基础参数'!$G$5:$L$16,2,FALSE),"")</x:f>
        <x:v>不锈钢炊具套装</x:v>
      </x:c>
      <x:c r="I21" s="75" t="str">
        <x:f>IFERROR(VLOOKUP(G21,'基础参数'!$G$5:$L$16,3,FALSE),"")</x:f>
        <x:v>户外炊具</x:v>
      </x:c>
      <x:c r="J21" s="58" t="n">
        <x:v>750</x:v>
      </x:c>
      <x:c r="K21" s="59" t="n">
        <x:v>30.05</x:v>
      </x:c>
      <x:c r="L21" s="60" t="str">
        <x:v>USD</x:v>
      </x:c>
      <x:c r="M21" s="78" t="n">
        <x:f>J21*K21</x:f>
        <x:v>22537.5</x:v>
      </x:c>
      <x:c r="N21" s="60" t="str">
        <x:v>FOB</x:v>
      </x:c>
      <x:c r="O21" s="60" t="str">
        <x:v>海运</x:v>
      </x:c>
      <x:c r="P21" s="60" t="str">
        <x:v>ONE</x:v>
      </x:c>
      <x:c r="Q21" s="60" t="str">
        <x:v>已收款</x:v>
      </x:c>
      <x:c r="R21" s="62" t="n">
        <x:v>46077</x:v>
      </x:c>
      <x:c r="S21" s="62" t="n">
        <x:v>46075</x:v>
      </x:c>
      <x:c r="T21" s="62" t="n">
        <x:v>46081</x:v>
      </x:c>
      <x:c r="U21" s="62" t="n">
        <x:v>46082</x:v>
      </x:c>
      <x:c r="V21" s="62" t="n">
        <x:v>46083</x:v>
      </x:c>
      <x:c r="W21" s="62" t="n">
        <x:v>46115</x:v>
      </x:c>
      <x:c r="X21" s="62" t="n">
        <x:v>46114</x:v>
      </x:c>
      <x:c r="Y21" s="60" t="str">
        <x:v>已签收</x:v>
      </x:c>
      <x:c r="Z21" s="60" t="str">
        <x:v>已签收</x:v>
      </x:c>
      <x:c r="AA21" s="60" t="str">
        <x:v>已完成</x:v>
      </x:c>
      <x:c r="AB21" s="60" t="str">
        <x:v>已完成</x:v>
      </x:c>
      <x:c r="AC21" s="60" t="str">
        <x:v>已完成</x:v>
      </x:c>
      <x:c r="AD21" s="60" t="str">
        <x:v>已完成</x:v>
      </x:c>
      <x:c r="AE21" s="60" t="str">
        <x:v>已完成</x:v>
      </x:c>
      <x:c r="AF21" s="81" t="n">
        <x:f>COUNTIF(AA21:AE21,"已完成")/5</x:f>
        <x:v>1</x:v>
      </x:c>
      <x:c r="AG21" s="75" t="str">
        <x:f>IF(U21&lt;&gt;"","",T21-'基础参数'!$O$2)</x:f>
      </x:c>
      <x:c r="AH21" s="75" t="str">
        <x:f>IF(X21&lt;&gt;"","已完成",IF(U21&lt;&gt;"",IF(U21&gt;T21,"延迟出库","运输中"),IF(T21&lt;'基础参数'!$O$2,"已逾期",IF(T21-'基础参数'!$O$2&lt;=2,"红色预警",IF(T21-'基础参数'!$O$2&lt;=7,"黄色预警","正常")))))</x:f>
        <x:v>已完成</x:v>
      </x:c>
      <x:c r="AI21" s="27" t="str">
        <x:v>无异常</x:v>
      </x:c>
      <x:c r="AJ21" s="27" t="str">
        <x:v>-</x:v>
      </x:c>
      <x:c r="AK21" s="75" t="str">
        <x:f>IFERROR(VLOOKUP(AI21,'基础参数'!$N$5:$S$19,4,FALSE),"-")</x:f>
        <x:v>-</x:v>
      </x:c>
      <x:c r="AL21" s="33"/>
      <x:c r="AM21" s="27" t="str">
        <x:v>不适用</x:v>
      </x:c>
      <x:c r="AN21" s="27" t="str">
        <x:v>无异常</x:v>
      </x:c>
      <x:c r="AO21" s="69" t="str"/>
      <x:c r="AP21" s="69" t="str"/>
      <x:c r="AQ21" s="75" t="str">
        <x:f>IF(X21="","",IF(X21&lt;=W21,"是","否"))</x:f>
        <x:v>是</x:v>
      </x:c>
      <x:c r="AR21" s="75" t="str">
        <x:f>IFERROR(VLOOKUP(AI21,'基础参数'!$N$5:$S$19,2,FALSE),"无异常")</x:f>
        <x:v>无异常</x:v>
      </x:c>
    </x:row>
    <x:row r="22" ht="34" customHeight="1">
      <x:c r="A22" s="49" t="str">
        <x:v>PO-26-017</x:v>
      </x:c>
      <x:c r="B22" s="50" t="n">
        <x:v>46053</x:v>
      </x:c>
      <x:c r="C22" s="72" t="str">
        <x:v>C011</x:v>
      </x:c>
      <x:c r="D22" s="75" t="str">
        <x:f>IFERROR(VLOOKUP(C22,'基础参数'!$A$5:$E$22,2,FALSE),"")</x:f>
        <x:v>Maple Camp Ltd.</x:v>
      </x:c>
      <x:c r="E22" s="75" t="str">
        <x:f>IFERROR(VLOOKUP(C22,'基础参数'!$A$5:$E$22,3,FALSE),"")</x:f>
        <x:v>加拿大</x:v>
      </x:c>
      <x:c r="F22" s="75" t="str">
        <x:f>IFERROR(VLOOKUP(C22,'基础参数'!$A$5:$E$22,4,FALSE),"")</x:f>
        <x:v>北美</x:v>
      </x:c>
      <x:c r="G22" s="72" t="str">
        <x:v>SLP-120</x:v>
      </x:c>
      <x:c r="H22" s="75" t="str">
        <x:f>IFERROR(VLOOKUP(G22,'基础参数'!$G$5:$L$16,2,FALSE),"")</x:f>
        <x:v>三季木乃伊睡袋</x:v>
      </x:c>
      <x:c r="I22" s="75" t="str">
        <x:f>IFERROR(VLOOKUP(G22,'基础参数'!$G$5:$L$16,3,FALSE),"")</x:f>
        <x:v>睡袋</x:v>
      </x:c>
      <x:c r="J22" s="58" t="n">
        <x:v>2350</x:v>
      </x:c>
      <x:c r="K22" s="59" t="n">
        <x:v>31.71</x:v>
      </x:c>
      <x:c r="L22" s="60" t="str">
        <x:v>USD</x:v>
      </x:c>
      <x:c r="M22" s="78" t="n">
        <x:f>J22*K22</x:f>
        <x:v>74518.5</x:v>
      </x:c>
      <x:c r="N22" s="60" t="str">
        <x:v>FOB</x:v>
      </x:c>
      <x:c r="O22" s="60" t="str">
        <x:v>国际快递</x:v>
      </x:c>
      <x:c r="P22" s="60" t="str">
        <x:v>UPS</x:v>
      </x:c>
      <x:c r="Q22" s="60" t="str">
        <x:v>已收款</x:v>
      </x:c>
      <x:c r="R22" s="62" t="n">
        <x:v>46082</x:v>
      </x:c>
      <x:c r="S22" s="62" t="n">
        <x:v>46082</x:v>
      </x:c>
      <x:c r="T22" s="62" t="n">
        <x:v>46086</x:v>
      </x:c>
      <x:c r="U22" s="62" t="n">
        <x:v>46086</x:v>
      </x:c>
      <x:c r="V22" s="62" t="n">
        <x:v>46087</x:v>
      </x:c>
      <x:c r="W22" s="62" t="n">
        <x:v>46092</x:v>
      </x:c>
      <x:c r="X22" s="62" t="n">
        <x:v>46090</x:v>
      </x:c>
      <x:c r="Y22" s="60" t="str">
        <x:v>已签收</x:v>
      </x:c>
      <x:c r="Z22" s="60" t="str">
        <x:v>已签收</x:v>
      </x:c>
      <x:c r="AA22" s="60" t="str">
        <x:v>已完成</x:v>
      </x:c>
      <x:c r="AB22" s="60" t="str">
        <x:v>已完成</x:v>
      </x:c>
      <x:c r="AC22" s="60" t="str">
        <x:v>已完成</x:v>
      </x:c>
      <x:c r="AD22" s="60" t="str">
        <x:v>已完成</x:v>
      </x:c>
      <x:c r="AE22" s="60" t="str">
        <x:v>已完成</x:v>
      </x:c>
      <x:c r="AF22" s="81" t="n">
        <x:f>COUNTIF(AA22:AE22,"已完成")/5</x:f>
        <x:v>1</x:v>
      </x:c>
      <x:c r="AG22" s="75" t="str">
        <x:f>IF(U22&lt;&gt;"","",T22-'基础参数'!$O$2)</x:f>
      </x:c>
      <x:c r="AH22" s="75" t="str">
        <x:f>IF(X22&lt;&gt;"","已完成",IF(U22&lt;&gt;"",IF(U22&gt;T22,"延迟出库","运输中"),IF(T22&lt;'基础参数'!$O$2,"已逾期",IF(T22-'基础参数'!$O$2&lt;=2,"红色预警",IF(T22-'基础参数'!$O$2&lt;=7,"黄色预警","正常")))))</x:f>
        <x:v>已完成</x:v>
      </x:c>
      <x:c r="AI22" s="27" t="str">
        <x:v>无异常</x:v>
      </x:c>
      <x:c r="AJ22" s="27" t="str">
        <x:v>-</x:v>
      </x:c>
      <x:c r="AK22" s="75" t="str">
        <x:f>IFERROR(VLOOKUP(AI22,'基础参数'!$N$5:$S$19,4,FALSE),"-")</x:f>
        <x:v>-</x:v>
      </x:c>
      <x:c r="AL22" s="33"/>
      <x:c r="AM22" s="27" t="str">
        <x:v>不适用</x:v>
      </x:c>
      <x:c r="AN22" s="27" t="str">
        <x:v>无异常</x:v>
      </x:c>
      <x:c r="AO22" s="69" t="str"/>
      <x:c r="AP22" s="69" t="str"/>
      <x:c r="AQ22" s="75" t="str">
        <x:f>IF(X22="","",IF(X22&lt;=W22,"是","否"))</x:f>
        <x:v>是</x:v>
      </x:c>
      <x:c r="AR22" s="75" t="str">
        <x:f>IFERROR(VLOOKUP(AI22,'基础参数'!$N$5:$S$19,2,FALSE),"无异常")</x:f>
        <x:v>无异常</x:v>
      </x:c>
    </x:row>
    <x:row r="23" ht="34" customHeight="1">
      <x:c r="A23" s="49" t="str">
        <x:v>PO-26-018</x:v>
      </x:c>
      <x:c r="B23" s="50" t="n">
        <x:v>46054</x:v>
      </x:c>
      <x:c r="C23" s="72" t="str">
        <x:v>C014</x:v>
      </x:c>
      <x:c r="D23" s="75" t="str">
        <x:f>IFERROR(VLOOKUP(C23,'基础参数'!$A$5:$E$22,2,FALSE),"")</x:f>
        <x:v>Kiwi Trek Ltd.</x:v>
      </x:c>
      <x:c r="E23" s="75" t="str">
        <x:f>IFERROR(VLOOKUP(C23,'基础参数'!$A$5:$E$22,3,FALSE),"")</x:f>
        <x:v>新西兰</x:v>
      </x:c>
      <x:c r="F23" s="75" t="str">
        <x:f>IFERROR(VLOOKUP(C23,'基础参数'!$A$5:$E$22,4,FALSE),"")</x:f>
        <x:v>澳洲</x:v>
      </x:c>
      <x:c r="G23" s="72" t="str">
        <x:v>TEN-210</x:v>
      </x:c>
      <x:c r="H23" s="75" t="str">
        <x:f>IFERROR(VLOOKUP(G23,'基础参数'!$G$5:$L$16,2,FALSE),"")</x:f>
        <x:v>双人轻量帐篷</x:v>
      </x:c>
      <x:c r="I23" s="75" t="str">
        <x:f>IFERROR(VLOOKUP(G23,'基础参数'!$G$5:$L$16,3,FALSE),"")</x:f>
        <x:v>帐篷</x:v>
      </x:c>
      <x:c r="J23" s="58" t="n">
        <x:v>800</x:v>
      </x:c>
      <x:c r="K23" s="59" t="n">
        <x:v>55.91</x:v>
      </x:c>
      <x:c r="L23" s="60" t="str">
        <x:v>USD</x:v>
      </x:c>
      <x:c r="M23" s="78" t="n">
        <x:f>J23*K23</x:f>
        <x:v>44728</x:v>
      </x:c>
      <x:c r="N23" s="60" t="str">
        <x:v>DDP</x:v>
      </x:c>
      <x:c r="O23" s="60" t="str">
        <x:v>海运</x:v>
      </x:c>
      <x:c r="P23" s="60" t="str">
        <x:v>CMA CGM</x:v>
      </x:c>
      <x:c r="Q23" s="60" t="str">
        <x:v>已收款</x:v>
      </x:c>
      <x:c r="R23" s="62" t="n">
        <x:v>46086</x:v>
      </x:c>
      <x:c r="S23" s="62" t="n">
        <x:v>46085</x:v>
      </x:c>
      <x:c r="T23" s="62" t="n">
        <x:v>46090</x:v>
      </x:c>
      <x:c r="U23" s="62" t="n">
        <x:v>46091</x:v>
      </x:c>
      <x:c r="V23" s="62" t="n">
        <x:v>46092</x:v>
      </x:c>
      <x:c r="W23" s="62" t="n">
        <x:v>46124</x:v>
      </x:c>
      <x:c r="X23" s="62" t="n">
        <x:v>46126</x:v>
      </x:c>
      <x:c r="Y23" s="60" t="str">
        <x:v>已签收</x:v>
      </x:c>
      <x:c r="Z23" s="60" t="str">
        <x:v>已签收</x:v>
      </x:c>
      <x:c r="AA23" s="60" t="str">
        <x:v>已完成</x:v>
      </x:c>
      <x:c r="AB23" s="60" t="str">
        <x:v>已完成</x:v>
      </x:c>
      <x:c r="AC23" s="60" t="str">
        <x:v>已完成</x:v>
      </x:c>
      <x:c r="AD23" s="60" t="str">
        <x:v>已完成</x:v>
      </x:c>
      <x:c r="AE23" s="60" t="str">
        <x:v>已完成</x:v>
      </x:c>
      <x:c r="AF23" s="81" t="n">
        <x:f>COUNTIF(AA23:AE23,"已完成")/5</x:f>
        <x:v>1</x:v>
      </x:c>
      <x:c r="AG23" s="75" t="str">
        <x:f>IF(U23&lt;&gt;"","",T23-'基础参数'!$O$2)</x:f>
      </x:c>
      <x:c r="AH23" s="75" t="str">
        <x:f>IF(X23&lt;&gt;"","已完成",IF(U23&lt;&gt;"",IF(U23&gt;T23,"延迟出库","运输中"),IF(T23&lt;'基础参数'!$O$2,"已逾期",IF(T23-'基础参数'!$O$2&lt;=2,"红色预警",IF(T23-'基础参数'!$O$2&lt;=7,"黄色预警","正常")))))</x:f>
        <x:v>已完成</x:v>
      </x:c>
      <x:c r="AI23" s="27" t="str">
        <x:v>无异常</x:v>
      </x:c>
      <x:c r="AJ23" s="27" t="str">
        <x:v>-</x:v>
      </x:c>
      <x:c r="AK23" s="75" t="str">
        <x:f>IFERROR(VLOOKUP(AI23,'基础参数'!$N$5:$S$19,4,FALSE),"-")</x:f>
        <x:v>-</x:v>
      </x:c>
      <x:c r="AL23" s="33"/>
      <x:c r="AM23" s="27" t="str">
        <x:v>不适用</x:v>
      </x:c>
      <x:c r="AN23" s="27" t="str">
        <x:v>无异常</x:v>
      </x:c>
      <x:c r="AO23" s="69" t="str"/>
      <x:c r="AP23" s="69" t="str"/>
      <x:c r="AQ23" s="75" t="str">
        <x:f>IF(X23="","",IF(X23&lt;=W23,"是","否"))</x:f>
        <x:v>否</x:v>
      </x:c>
      <x:c r="AR23" s="75" t="str">
        <x:f>IFERROR(VLOOKUP(AI23,'基础参数'!$N$5:$S$19,2,FALSE),"无异常")</x:f>
        <x:v>无异常</x:v>
      </x:c>
    </x:row>
    <x:row r="24" ht="34" customHeight="1">
      <x:c r="A24" s="49" t="str">
        <x:v>PO-26-019</x:v>
      </x:c>
      <x:c r="B24" s="50" t="n">
        <x:v>46056</x:v>
      </x:c>
      <x:c r="C24" s="72" t="str">
        <x:v>C002</x:v>
      </x:c>
      <x:c r="D24" s="75" t="str">
        <x:f>IFERROR(VLOOKUP(C24,'基础参数'!$A$5:$E$22,2,FALSE),"")</x:f>
        <x:v>Alpine Base SAS</x:v>
      </x:c>
      <x:c r="E24" s="75" t="str">
        <x:f>IFERROR(VLOOKUP(C24,'基础参数'!$A$5:$E$22,3,FALSE),"")</x:f>
        <x:v>法国</x:v>
      </x:c>
      <x:c r="F24" s="75" t="str">
        <x:f>IFERROR(VLOOKUP(C24,'基础参数'!$A$5:$E$22,4,FALSE),"")</x:f>
        <x:v>欧洲</x:v>
      </x:c>
      <x:c r="G24" s="72" t="str">
        <x:v>LGT-240</x:v>
      </x:c>
      <x:c r="H24" s="75" t="str">
        <x:f>IFERROR(VLOOKUP(G24,'基础参数'!$G$5:$L$16,2,FALSE),"")</x:f>
        <x:v>太阳能营地灯串</x:v>
      </x:c>
      <x:c r="I24" s="75" t="str">
        <x:f>IFERROR(VLOOKUP(G24,'基础参数'!$G$5:$L$16,3,FALSE),"")</x:f>
        <x:v>露营照明</x:v>
      </x:c>
      <x:c r="J24" s="58" t="n">
        <x:v>1550</x:v>
      </x:c>
      <x:c r="K24" s="59" t="n">
        <x:v>26.5</x:v>
      </x:c>
      <x:c r="L24" s="60" t="str">
        <x:v>EUR</x:v>
      </x:c>
      <x:c r="M24" s="78" t="n">
        <x:f>J24*K24</x:f>
        <x:v>41075</x:v>
      </x:c>
      <x:c r="N24" s="60" t="str">
        <x:v>FOB</x:v>
      </x:c>
      <x:c r="O24" s="60" t="str">
        <x:v>海运</x:v>
      </x:c>
      <x:c r="P24" s="60" t="str">
        <x:v>Maersk</x:v>
      </x:c>
      <x:c r="Q24" s="60" t="str">
        <x:v>已收款</x:v>
      </x:c>
      <x:c r="R24" s="62" t="n">
        <x:v>46081</x:v>
      </x:c>
      <x:c r="S24" s="62" t="n">
        <x:v>46082</x:v>
      </x:c>
      <x:c r="T24" s="62" t="n">
        <x:v>46085</x:v>
      </x:c>
      <x:c r="U24" s="62" t="n">
        <x:v>46097</x:v>
      </x:c>
      <x:c r="V24" s="62" t="n">
        <x:v>46098</x:v>
      </x:c>
      <x:c r="W24" s="62" t="n">
        <x:v>46130</x:v>
      </x:c>
      <x:c r="X24" s="62" t="n">
        <x:v>46129</x:v>
      </x:c>
      <x:c r="Y24" s="60" t="str">
        <x:v>已签收</x:v>
      </x:c>
      <x:c r="Z24" s="60" t="str">
        <x:v>已签收</x:v>
      </x:c>
      <x:c r="AA24" s="60" t="str">
        <x:v>已完成</x:v>
      </x:c>
      <x:c r="AB24" s="60" t="str">
        <x:v>已完成</x:v>
      </x:c>
      <x:c r="AC24" s="60" t="str">
        <x:v>已完成</x:v>
      </x:c>
      <x:c r="AD24" s="60" t="str">
        <x:v>已完成</x:v>
      </x:c>
      <x:c r="AE24" s="60" t="str">
        <x:v>已完成</x:v>
      </x:c>
      <x:c r="AF24" s="81" t="n">
        <x:f>COUNTIF(AA24:AE24,"已完成")/5</x:f>
        <x:v>1</x:v>
      </x:c>
      <x:c r="AG24" s="75" t="str">
        <x:f>IF(U24&lt;&gt;"","",T24-'基础参数'!$O$2)</x:f>
      </x:c>
      <x:c r="AH24" s="75" t="str">
        <x:f>IF(X24&lt;&gt;"","已完成",IF(U24&lt;&gt;"",IF(U24&gt;T24,"延迟出库","运输中"),IF(T24&lt;'基础参数'!$O$2,"已逾期",IF(T24-'基础参数'!$O$2&lt;=2,"红色预警",IF(T24-'基础参数'!$O$2&lt;=7,"黄色预警","正常")))))</x:f>
        <x:v>已完成</x:v>
      </x:c>
      <x:c r="AI24" s="27" t="str">
        <x:v>舱位不足</x:v>
      </x:c>
      <x:c r="AJ24" s="27" t="str">
        <x:v>B级</x:v>
      </x:c>
      <x:c r="AK24" s="75" t="str">
        <x:f>IFERROR(VLOOKUP(AI24,'基础参数'!$N$5:$S$19,4,FALSE),"-")</x:f>
        <x:v>物流操作</x:v>
      </x:c>
      <x:c r="AL24" s="33" t="n">
        <x:v>46083</x:v>
      </x:c>
      <x:c r="AM24" s="27" t="str">
        <x:v>已通知</x:v>
      </x:c>
      <x:c r="AN24" s="27" t="str">
        <x:v>已关闭</x:v>
      </x:c>
      <x:c r="AO24" s="69" t="str">
        <x:v>舱位不足导致计划节点存在一般偏差</x:v>
      </x:c>
      <x:c r="AP24" s="69" t="str">
        <x:v>已完成补救并取得客户确认</x:v>
      </x:c>
      <x:c r="AQ24" s="75" t="str">
        <x:f>IF(X24="","",IF(X24&lt;=W24,"是","否"))</x:f>
        <x:v>是</x:v>
      </x:c>
      <x:c r="AR24" s="75" t="str">
        <x:f>IFERROR(VLOOKUP(AI24,'基础参数'!$N$5:$S$19,2,FALSE),"无异常")</x:f>
        <x:v>出运</x:v>
      </x:c>
    </x:row>
    <x:row r="25" ht="34" customHeight="1">
      <x:c r="A25" s="49" t="str">
        <x:v>PO-26-020</x:v>
      </x:c>
      <x:c r="B25" s="50" t="n">
        <x:v>46058</x:v>
      </x:c>
      <x:c r="C25" s="72" t="str">
        <x:v>C006</x:v>
      </x:c>
      <x:c r="D25" s="75" t="str">
        <x:f>IFERROR(VLOOKUP(C25,'基础参数'!$A$5:$E$22,2,FALSE),"")</x:f>
        <x:v>Iberia Trek SL</x:v>
      </x:c>
      <x:c r="E25" s="75" t="str">
        <x:f>IFERROR(VLOOKUP(C25,'基础参数'!$A$5:$E$22,3,FALSE),"")</x:f>
        <x:v>西班牙</x:v>
      </x:c>
      <x:c r="F25" s="75" t="str">
        <x:f>IFERROR(VLOOKUP(C25,'基础参数'!$A$5:$E$22,4,FALSE),"")</x:f>
        <x:v>欧洲</x:v>
      </x:c>
      <x:c r="G25" s="72" t="str">
        <x:v>SLP-120</x:v>
      </x:c>
      <x:c r="H25" s="75" t="str">
        <x:f>IFERROR(VLOOKUP(G25,'基础参数'!$G$5:$L$16,2,FALSE),"")</x:f>
        <x:v>三季木乃伊睡袋</x:v>
      </x:c>
      <x:c r="I25" s="75" t="str">
        <x:f>IFERROR(VLOOKUP(G25,'基础参数'!$G$5:$L$16,3,FALSE),"")</x:f>
        <x:v>睡袋</x:v>
      </x:c>
      <x:c r="J25" s="58" t="n">
        <x:v>1800</x:v>
      </x:c>
      <x:c r="K25" s="59" t="n">
        <x:v>31.73</x:v>
      </x:c>
      <x:c r="L25" s="60" t="str">
        <x:v>EUR</x:v>
      </x:c>
      <x:c r="M25" s="78" t="n">
        <x:f>J25*K25</x:f>
        <x:v>57114</x:v>
      </x:c>
      <x:c r="N25" s="60" t="str">
        <x:v>DDP</x:v>
      </x:c>
      <x:c r="O25" s="60" t="str">
        <x:v>国际快递</x:v>
      </x:c>
      <x:c r="P25" s="60" t="str">
        <x:v>DHL Express</x:v>
      </x:c>
      <x:c r="Q25" s="60" t="str">
        <x:v>已收款</x:v>
      </x:c>
      <x:c r="R25" s="62" t="n">
        <x:v>46087</x:v>
      </x:c>
      <x:c r="S25" s="62" t="n">
        <x:v>46087</x:v>
      </x:c>
      <x:c r="T25" s="62" t="n">
        <x:v>46091</x:v>
      </x:c>
      <x:c r="U25" s="62" t="n">
        <x:v>46090</x:v>
      </x:c>
      <x:c r="V25" s="62" t="n">
        <x:v>46091</x:v>
      </x:c>
      <x:c r="W25" s="62" t="n">
        <x:v>46096</x:v>
      </x:c>
      <x:c r="X25" s="62" t="n">
        <x:v>46094</x:v>
      </x:c>
      <x:c r="Y25" s="60" t="str">
        <x:v>已签收</x:v>
      </x:c>
      <x:c r="Z25" s="60" t="str">
        <x:v>已签收</x:v>
      </x:c>
      <x:c r="AA25" s="60" t="str">
        <x:v>已完成</x:v>
      </x:c>
      <x:c r="AB25" s="60" t="str">
        <x:v>已完成</x:v>
      </x:c>
      <x:c r="AC25" s="60" t="str">
        <x:v>已完成</x:v>
      </x:c>
      <x:c r="AD25" s="60" t="str">
        <x:v>已完成</x:v>
      </x:c>
      <x:c r="AE25" s="60" t="str">
        <x:v>已完成</x:v>
      </x:c>
      <x:c r="AF25" s="81" t="n">
        <x:f>COUNTIF(AA25:AE25,"已完成")/5</x:f>
        <x:v>1</x:v>
      </x:c>
      <x:c r="AG25" s="75" t="str">
        <x:f>IF(U25&lt;&gt;"","",T25-'基础参数'!$O$2)</x:f>
      </x:c>
      <x:c r="AH25" s="75" t="str">
        <x:f>IF(X25&lt;&gt;"","已完成",IF(U25&lt;&gt;"",IF(U25&gt;T25,"延迟出库","运输中"),IF(T25&lt;'基础参数'!$O$2,"已逾期",IF(T25-'基础参数'!$O$2&lt;=2,"红色预警",IF(T25-'基础参数'!$O$2&lt;=7,"黄色预警","正常")))))</x:f>
        <x:v>已完成</x:v>
      </x:c>
      <x:c r="AI25" s="27" t="str">
        <x:v>无异常</x:v>
      </x:c>
      <x:c r="AJ25" s="27" t="str">
        <x:v>-</x:v>
      </x:c>
      <x:c r="AK25" s="75" t="str">
        <x:f>IFERROR(VLOOKUP(AI25,'基础参数'!$N$5:$S$19,4,FALSE),"-")</x:f>
        <x:v>-</x:v>
      </x:c>
      <x:c r="AL25" s="33"/>
      <x:c r="AM25" s="27" t="str">
        <x:v>不适用</x:v>
      </x:c>
      <x:c r="AN25" s="27" t="str">
        <x:v>无异常</x:v>
      </x:c>
      <x:c r="AO25" s="69" t="str"/>
      <x:c r="AP25" s="69" t="str"/>
      <x:c r="AQ25" s="75" t="str">
        <x:f>IF(X25="","",IF(X25&lt;=W25,"是","否"))</x:f>
        <x:v>是</x:v>
      </x:c>
      <x:c r="AR25" s="75" t="str">
        <x:f>IFERROR(VLOOKUP(AI25,'基础参数'!$N$5:$S$19,2,FALSE),"无异常")</x:f>
        <x:v>无异常</x:v>
      </x:c>
    </x:row>
    <x:row r="26" ht="34" customHeight="1">
      <x:c r="A26" s="49" t="str">
        <x:v>PO-26-021</x:v>
      </x:c>
      <x:c r="B26" s="50" t="n">
        <x:v>46060</x:v>
      </x:c>
      <x:c r="C26" s="72" t="str">
        <x:v>C011</x:v>
      </x:c>
      <x:c r="D26" s="75" t="str">
        <x:f>IFERROR(VLOOKUP(C26,'基础参数'!$A$5:$E$22,2,FALSE),"")</x:f>
        <x:v>Maple Camp Ltd.</x:v>
      </x:c>
      <x:c r="E26" s="75" t="str">
        <x:f>IFERROR(VLOOKUP(C26,'基础参数'!$A$5:$E$22,3,FALSE),"")</x:f>
        <x:v>加拿大</x:v>
      </x:c>
      <x:c r="F26" s="75" t="str">
        <x:f>IFERROR(VLOOKUP(C26,'基础参数'!$A$5:$E$22,4,FALSE),"")</x:f>
        <x:v>北美</x:v>
      </x:c>
      <x:c r="G26" s="72" t="str">
        <x:v>LGT-240</x:v>
      </x:c>
      <x:c r="H26" s="75" t="str">
        <x:f>IFERROR(VLOOKUP(G26,'基础参数'!$G$5:$L$16,2,FALSE),"")</x:f>
        <x:v>太阳能营地灯串</x:v>
      </x:c>
      <x:c r="I26" s="75" t="str">
        <x:f>IFERROR(VLOOKUP(G26,'基础参数'!$G$5:$L$16,3,FALSE),"")</x:f>
        <x:v>露营照明</x:v>
      </x:c>
      <x:c r="J26" s="58" t="n">
        <x:v>1150</x:v>
      </x:c>
      <x:c r="K26" s="59" t="n">
        <x:v>26.35</x:v>
      </x:c>
      <x:c r="L26" s="60" t="str">
        <x:v>USD</x:v>
      </x:c>
      <x:c r="M26" s="78" t="n">
        <x:f>J26*K26</x:f>
        <x:v>30302.5</x:v>
      </x:c>
      <x:c r="N26" s="60" t="str">
        <x:v>CIF</x:v>
      </x:c>
      <x:c r="O26" s="60" t="str">
        <x:v>海运</x:v>
      </x:c>
      <x:c r="P26" s="60" t="str">
        <x:v>CMA CGM</x:v>
      </x:c>
      <x:c r="Q26" s="60" t="str">
        <x:v>已收款</x:v>
      </x:c>
      <x:c r="R26" s="62" t="n">
        <x:v>46085</x:v>
      </x:c>
      <x:c r="S26" s="62" t="n">
        <x:v>46086</x:v>
      </x:c>
      <x:c r="T26" s="62" t="n">
        <x:v>46089</x:v>
      </x:c>
      <x:c r="U26" s="62" t="n">
        <x:v>46090</x:v>
      </x:c>
      <x:c r="V26" s="62" t="n">
        <x:v>46091</x:v>
      </x:c>
      <x:c r="W26" s="62" t="n">
        <x:v>46123</x:v>
      </x:c>
      <x:c r="X26" s="62" t="n">
        <x:v>46121</x:v>
      </x:c>
      <x:c r="Y26" s="60" t="str">
        <x:v>已签收</x:v>
      </x:c>
      <x:c r="Z26" s="60" t="str">
        <x:v>已签收</x:v>
      </x:c>
      <x:c r="AA26" s="60" t="str">
        <x:v>已完成</x:v>
      </x:c>
      <x:c r="AB26" s="60" t="str">
        <x:v>已完成</x:v>
      </x:c>
      <x:c r="AC26" s="60" t="str">
        <x:v>已完成</x:v>
      </x:c>
      <x:c r="AD26" s="60" t="str">
        <x:v>已完成</x:v>
      </x:c>
      <x:c r="AE26" s="60" t="str">
        <x:v>已完成</x:v>
      </x:c>
      <x:c r="AF26" s="81" t="n">
        <x:f>COUNTIF(AA26:AE26,"已完成")/5</x:f>
        <x:v>1</x:v>
      </x:c>
      <x:c r="AG26" s="75" t="str">
        <x:f>IF(U26&lt;&gt;"","",T26-'基础参数'!$O$2)</x:f>
      </x:c>
      <x:c r="AH26" s="75" t="str">
        <x:f>IF(X26&lt;&gt;"","已完成",IF(U26&lt;&gt;"",IF(U26&gt;T26,"延迟出库","运输中"),IF(T26&lt;'基础参数'!$O$2,"已逾期",IF(T26-'基础参数'!$O$2&lt;=2,"红色预警",IF(T26-'基础参数'!$O$2&lt;=7,"黄色预警","正常")))))</x:f>
        <x:v>已完成</x:v>
      </x:c>
      <x:c r="AI26" s="27" t="str">
        <x:v>无异常</x:v>
      </x:c>
      <x:c r="AJ26" s="27" t="str">
        <x:v>-</x:v>
      </x:c>
      <x:c r="AK26" s="75" t="str">
        <x:f>IFERROR(VLOOKUP(AI26,'基础参数'!$N$5:$S$19,4,FALSE),"-")</x:f>
        <x:v>-</x:v>
      </x:c>
      <x:c r="AL26" s="33"/>
      <x:c r="AM26" s="27" t="str">
        <x:v>不适用</x:v>
      </x:c>
      <x:c r="AN26" s="27" t="str">
        <x:v>无异常</x:v>
      </x:c>
      <x:c r="AO26" s="69" t="str"/>
      <x:c r="AP26" s="69" t="str"/>
      <x:c r="AQ26" s="75" t="str">
        <x:f>IF(X26="","",IF(X26&lt;=W26,"是","否"))</x:f>
        <x:v>是</x:v>
      </x:c>
      <x:c r="AR26" s="75" t="str">
        <x:f>IFERROR(VLOOKUP(AI26,'基础参数'!$N$5:$S$19,2,FALSE),"无异常")</x:f>
        <x:v>无异常</x:v>
      </x:c>
    </x:row>
    <x:row r="27" ht="34" customHeight="1">
      <x:c r="A27" s="49" t="str">
        <x:v>PO-26-022</x:v>
      </x:c>
      <x:c r="B27" s="50" t="n">
        <x:v>46061</x:v>
      </x:c>
      <x:c r="C27" s="72" t="str">
        <x:v>C017</x:v>
      </x:c>
      <x:c r="D27" s="75" t="str">
        <x:f>IFERROR(VLOOKUP(C27,'基础参数'!$A$5:$E$22,2,FALSE),"")</x:f>
        <x:v>HanRiver Outdoor</x:v>
      </x:c>
      <x:c r="E27" s="75" t="str">
        <x:f>IFERROR(VLOOKUP(C27,'基础参数'!$A$5:$E$22,3,FALSE),"")</x:f>
        <x:v>韩国</x:v>
      </x:c>
      <x:c r="F27" s="75" t="str">
        <x:f>IFERROR(VLOOKUP(C27,'基础参数'!$A$5:$E$22,4,FALSE),"")</x:f>
        <x:v>亚洲</x:v>
      </x:c>
      <x:c r="G27" s="72" t="str">
        <x:v>SLP-210</x:v>
      </x:c>
      <x:c r="H27" s="75" t="str">
        <x:f>IFERROR(VLOOKUP(G27,'基础参数'!$G$5:$L$16,2,FALSE),"")</x:f>
        <x:v>双人保暖睡袋</x:v>
      </x:c>
      <x:c r="I27" s="75" t="str">
        <x:f>IFERROR(VLOOKUP(G27,'基础参数'!$G$5:$L$16,3,FALSE),"")</x:f>
        <x:v>睡袋</x:v>
      </x:c>
      <x:c r="J27" s="58" t="n">
        <x:v>1900</x:v>
      </x:c>
      <x:c r="K27" s="59" t="n">
        <x:v>57.26</x:v>
      </x:c>
      <x:c r="L27" s="60" t="str">
        <x:v>USD</x:v>
      </x:c>
      <x:c r="M27" s="78" t="n">
        <x:f>J27*K27</x:f>
        <x:v>108794</x:v>
      </x:c>
      <x:c r="N27" s="60" t="str">
        <x:v>FOB</x:v>
      </x:c>
      <x:c r="O27" s="60" t="str">
        <x:v>海运</x:v>
      </x:c>
      <x:c r="P27" s="60" t="str">
        <x:v>CMA CGM</x:v>
      </x:c>
      <x:c r="Q27" s="60" t="str">
        <x:v>已收款</x:v>
      </x:c>
      <x:c r="R27" s="62" t="n">
        <x:v>46094</x:v>
      </x:c>
      <x:c r="S27" s="62" t="n">
        <x:v>46093</x:v>
      </x:c>
      <x:c r="T27" s="62" t="n">
        <x:v>46098</x:v>
      </x:c>
      <x:c r="U27" s="62" t="n">
        <x:v>46098</x:v>
      </x:c>
      <x:c r="V27" s="62" t="n">
        <x:v>46099</x:v>
      </x:c>
      <x:c r="W27" s="62" t="n">
        <x:v>46131</x:v>
      </x:c>
      <x:c r="X27" s="62" t="n">
        <x:v>46129</x:v>
      </x:c>
      <x:c r="Y27" s="60" t="str">
        <x:v>已签收</x:v>
      </x:c>
      <x:c r="Z27" s="60" t="str">
        <x:v>已签收</x:v>
      </x:c>
      <x:c r="AA27" s="60" t="str">
        <x:v>已完成</x:v>
      </x:c>
      <x:c r="AB27" s="60" t="str">
        <x:v>已完成</x:v>
      </x:c>
      <x:c r="AC27" s="60" t="str">
        <x:v>已完成</x:v>
      </x:c>
      <x:c r="AD27" s="60" t="str">
        <x:v>已完成</x:v>
      </x:c>
      <x:c r="AE27" s="60" t="str">
        <x:v>已完成</x:v>
      </x:c>
      <x:c r="AF27" s="81" t="n">
        <x:f>COUNTIF(AA27:AE27,"已完成")/5</x:f>
        <x:v>1</x:v>
      </x:c>
      <x:c r="AG27" s="75" t="str">
        <x:f>IF(U27&lt;&gt;"","",T27-'基础参数'!$O$2)</x:f>
      </x:c>
      <x:c r="AH27" s="75" t="str">
        <x:f>IF(X27&lt;&gt;"","已完成",IF(U27&lt;&gt;"",IF(U27&gt;T27,"延迟出库","运输中"),IF(T27&lt;'基础参数'!$O$2,"已逾期",IF(T27-'基础参数'!$O$2&lt;=2,"红色预警",IF(T27-'基础参数'!$O$2&lt;=7,"黄色预警","正常")))))</x:f>
        <x:v>已完成</x:v>
      </x:c>
      <x:c r="AI27" s="27" t="str">
        <x:v>无异常</x:v>
      </x:c>
      <x:c r="AJ27" s="27" t="str">
        <x:v>-</x:v>
      </x:c>
      <x:c r="AK27" s="75" t="str">
        <x:f>IFERROR(VLOOKUP(AI27,'基础参数'!$N$5:$S$19,4,FALSE),"-")</x:f>
        <x:v>-</x:v>
      </x:c>
      <x:c r="AL27" s="33"/>
      <x:c r="AM27" s="27" t="str">
        <x:v>不适用</x:v>
      </x:c>
      <x:c r="AN27" s="27" t="str">
        <x:v>无异常</x:v>
      </x:c>
      <x:c r="AO27" s="69" t="str"/>
      <x:c r="AP27" s="69" t="str"/>
      <x:c r="AQ27" s="75" t="str">
        <x:f>IF(X27="","",IF(X27&lt;=W27,"是","否"))</x:f>
        <x:v>是</x:v>
      </x:c>
      <x:c r="AR27" s="75" t="str">
        <x:f>IFERROR(VLOOKUP(AI27,'基础参数'!$N$5:$S$19,2,FALSE),"无异常")</x:f>
        <x:v>无异常</x:v>
      </x:c>
    </x:row>
    <x:row r="28" ht="34" customHeight="1">
      <x:c r="A28" s="49" t="str">
        <x:v>PO-26-023</x:v>
      </x:c>
      <x:c r="B28" s="50" t="n">
        <x:v>46063</x:v>
      </x:c>
      <x:c r="C28" s="72" t="str">
        <x:v>C007</x:v>
      </x:c>
      <x:c r="D28" s="75" t="str">
        <x:f>IFERROR(VLOOKUP(C28,'基础参数'!$A$5:$E$22,2,FALSE),"")</x:f>
        <x:v>Summit Supply Inc.</x:v>
      </x:c>
      <x:c r="E28" s="75" t="str">
        <x:f>IFERROR(VLOOKUP(C28,'基础参数'!$A$5:$E$22,3,FALSE),"")</x:f>
        <x:v>美国</x:v>
      </x:c>
      <x:c r="F28" s="75" t="str">
        <x:f>IFERROR(VLOOKUP(C28,'基础参数'!$A$5:$E$22,4,FALSE),"")</x:f>
        <x:v>北美</x:v>
      </x:c>
      <x:c r="G28" s="72" t="str">
        <x:v>TEN-410</x:v>
      </x:c>
      <x:c r="H28" s="75" t="str">
        <x:f>IFERROR(VLOOKUP(G28,'基础参数'!$G$5:$L$16,2,FALSE),"")</x:f>
        <x:v>四人家庭帐篷</x:v>
      </x:c>
      <x:c r="I28" s="75" t="str">
        <x:f>IFERROR(VLOOKUP(G28,'基础参数'!$G$5:$L$16,3,FALSE),"")</x:f>
        <x:v>帐篷</x:v>
      </x:c>
      <x:c r="J28" s="58" t="n">
        <x:v>500</x:v>
      </x:c>
      <x:c r="K28" s="59" t="n">
        <x:v>95.15</x:v>
      </x:c>
      <x:c r="L28" s="60" t="str">
        <x:v>USD</x:v>
      </x:c>
      <x:c r="M28" s="78" t="n">
        <x:f>J28*K28</x:f>
        <x:v>47575</x:v>
      </x:c>
      <x:c r="N28" s="60" t="str">
        <x:v>FOB</x:v>
      </x:c>
      <x:c r="O28" s="60" t="str">
        <x:v>海运</x:v>
      </x:c>
      <x:c r="P28" s="60" t="str">
        <x:v>COSCO</x:v>
      </x:c>
      <x:c r="Q28" s="60" t="str">
        <x:v>已收款</x:v>
      </x:c>
      <x:c r="R28" s="62" t="n">
        <x:v>46101</x:v>
      </x:c>
      <x:c r="S28" s="62" t="n">
        <x:v>46102</x:v>
      </x:c>
      <x:c r="T28" s="62" t="n">
        <x:v>46105</x:v>
      </x:c>
      <x:c r="U28" s="62" t="n">
        <x:v>46116</x:v>
      </x:c>
      <x:c r="V28" s="62" t="n">
        <x:v>46117</x:v>
      </x:c>
      <x:c r="W28" s="62" t="n">
        <x:v>46149</x:v>
      </x:c>
      <x:c r="X28" s="62" t="n">
        <x:v>46148</x:v>
      </x:c>
      <x:c r="Y28" s="60" t="str">
        <x:v>已签收</x:v>
      </x:c>
      <x:c r="Z28" s="60" t="str">
        <x:v>已签收</x:v>
      </x:c>
      <x:c r="AA28" s="60" t="str">
        <x:v>已完成</x:v>
      </x:c>
      <x:c r="AB28" s="60" t="str">
        <x:v>已完成</x:v>
      </x:c>
      <x:c r="AC28" s="60" t="str">
        <x:v>待补充</x:v>
      </x:c>
      <x:c r="AD28" s="60" t="str">
        <x:v>已完成</x:v>
      </x:c>
      <x:c r="AE28" s="60" t="str">
        <x:v>待补充</x:v>
      </x:c>
      <x:c r="AF28" s="81" t="n">
        <x:f>COUNTIF(AA28:AE28,"已完成")/5</x:f>
        <x:v>0.6</x:v>
      </x:c>
      <x:c r="AG28" s="75" t="str">
        <x:f>IF(U28&lt;&gt;"","",T28-'基础参数'!$O$2)</x:f>
      </x:c>
      <x:c r="AH28" s="75" t="str">
        <x:f>IF(X28&lt;&gt;"","已完成",IF(U28&lt;&gt;"",IF(U28&gt;T28,"延迟出库","运输中"),IF(T28&lt;'基础参数'!$O$2,"已逾期",IF(T28-'基础参数'!$O$2&lt;=2,"红色预警",IF(T28-'基础参数'!$O$2&lt;=7,"黄色预警","正常")))))</x:f>
        <x:v>已完成</x:v>
      </x:c>
      <x:c r="AI28" s="27" t="str">
        <x:v>单证缺失</x:v>
      </x:c>
      <x:c r="AJ28" s="27" t="str">
        <x:v>A级</x:v>
      </x:c>
      <x:c r="AK28" s="75" t="str">
        <x:f>IFERROR(VLOOKUP(AI28,'基础参数'!$N$5:$S$19,4,FALSE),"-")</x:f>
        <x:v>单证专员</x:v>
      </x:c>
      <x:c r="AL28" s="33" t="n">
        <x:v>46103</x:v>
      </x:c>
      <x:c r="AM28" s="27" t="str">
        <x:v>已通知</x:v>
      </x:c>
      <x:c r="AN28" s="27" t="str">
        <x:v>已关闭</x:v>
      </x:c>
      <x:c r="AO28" s="69" t="str">
        <x:v>单证缺失导致计划节点存在重大偏差</x:v>
      </x:c>
      <x:c r="AP28" s="69" t="str">
        <x:v>已完成补救并取得客户确认</x:v>
      </x:c>
      <x:c r="AQ28" s="75" t="str">
        <x:f>IF(X28="","",IF(X28&lt;=W28,"是","否"))</x:f>
        <x:v>是</x:v>
      </x:c>
      <x:c r="AR28" s="75" t="str">
        <x:f>IFERROR(VLOOKUP(AI28,'基础参数'!$N$5:$S$19,2,FALSE),"无异常")</x:f>
        <x:v>单证</x:v>
      </x:c>
    </x:row>
    <x:row r="29" ht="34" customHeight="1">
      <x:c r="A29" s="49" t="str">
        <x:v>PO-26-024</x:v>
      </x:c>
      <x:c r="B29" s="50" t="n">
        <x:v>46065</x:v>
      </x:c>
      <x:c r="C29" s="72" t="str">
        <x:v>C008</x:v>
      </x:c>
      <x:c r="D29" s="75" t="str">
        <x:f>IFERROR(VLOOKUP(C29,'基础参数'!$A$5:$E$22,2,FALSE),"")</x:f>
        <x:v>Camp Harbor LLC</x:v>
      </x:c>
      <x:c r="E29" s="75" t="str">
        <x:f>IFERROR(VLOOKUP(C29,'基础参数'!$A$5:$E$22,3,FALSE),"")</x:f>
        <x:v>美国</x:v>
      </x:c>
      <x:c r="F29" s="75" t="str">
        <x:f>IFERROR(VLOOKUP(C29,'基础参数'!$A$5:$E$22,4,FALSE),"")</x:f>
        <x:v>北美</x:v>
      </x:c>
      <x:c r="G29" s="72" t="str">
        <x:v>LGT-100</x:v>
      </x:c>
      <x:c r="H29" s="75" t="str">
        <x:f>IFERROR(VLOOKUP(G29,'基础参数'!$G$5:$L$16,2,FALSE),"")</x:f>
        <x:v>USB充电露营灯</x:v>
      </x:c>
      <x:c r="I29" s="75" t="str">
        <x:f>IFERROR(VLOOKUP(G29,'基础参数'!$G$5:$L$16,3,FALSE),"")</x:f>
        <x:v>露营照明</x:v>
      </x:c>
      <x:c r="J29" s="58" t="n">
        <x:v>1500</x:v>
      </x:c>
      <x:c r="K29" s="59" t="n">
        <x:v>18.46</x:v>
      </x:c>
      <x:c r="L29" s="60" t="str">
        <x:v>USD</x:v>
      </x:c>
      <x:c r="M29" s="78" t="n">
        <x:f>J29*K29</x:f>
        <x:v>27690</x:v>
      </x:c>
      <x:c r="N29" s="60" t="str">
        <x:v>DDP</x:v>
      </x:c>
      <x:c r="O29" s="60" t="str">
        <x:v>海运</x:v>
      </x:c>
      <x:c r="P29" s="60" t="str">
        <x:v>COSCO</x:v>
      </x:c>
      <x:c r="Q29" s="60" t="str">
        <x:v>已收款</x:v>
      </x:c>
      <x:c r="R29" s="62" t="n">
        <x:v>46087</x:v>
      </x:c>
      <x:c r="S29" s="62" t="n">
        <x:v>46088</x:v>
      </x:c>
      <x:c r="T29" s="62" t="n">
        <x:v>46091</x:v>
      </x:c>
      <x:c r="U29" s="62" t="n">
        <x:v>46093</x:v>
      </x:c>
      <x:c r="V29" s="62" t="n">
        <x:v>46094</x:v>
      </x:c>
      <x:c r="W29" s="62" t="n">
        <x:v>46126</x:v>
      </x:c>
      <x:c r="X29" s="62" t="n">
        <x:v>46126</x:v>
      </x:c>
      <x:c r="Y29" s="60" t="str">
        <x:v>已签收</x:v>
      </x:c>
      <x:c r="Z29" s="60" t="str">
        <x:v>已签收</x:v>
      </x:c>
      <x:c r="AA29" s="60" t="str">
        <x:v>已完成</x:v>
      </x:c>
      <x:c r="AB29" s="60" t="str">
        <x:v>已完成</x:v>
      </x:c>
      <x:c r="AC29" s="60" t="str">
        <x:v>已完成</x:v>
      </x:c>
      <x:c r="AD29" s="60" t="str">
        <x:v>已完成</x:v>
      </x:c>
      <x:c r="AE29" s="60" t="str">
        <x:v>已完成</x:v>
      </x:c>
      <x:c r="AF29" s="81" t="n">
        <x:f>COUNTIF(AA29:AE29,"已完成")/5</x:f>
        <x:v>1</x:v>
      </x:c>
      <x:c r="AG29" s="75" t="str">
        <x:f>IF(U29&lt;&gt;"","",T29-'基础参数'!$O$2)</x:f>
      </x:c>
      <x:c r="AH29" s="75" t="str">
        <x:f>IF(X29&lt;&gt;"","已完成",IF(U29&lt;&gt;"",IF(U29&gt;T29,"延迟出库","运输中"),IF(T29&lt;'基础参数'!$O$2,"已逾期",IF(T29-'基础参数'!$O$2&lt;=2,"红色预警",IF(T29-'基础参数'!$O$2&lt;=7,"黄色预警","正常")))))</x:f>
        <x:v>已完成</x:v>
      </x:c>
      <x:c r="AI29" s="27" t="str">
        <x:v>无异常</x:v>
      </x:c>
      <x:c r="AJ29" s="27" t="str">
        <x:v>-</x:v>
      </x:c>
      <x:c r="AK29" s="75" t="str">
        <x:f>IFERROR(VLOOKUP(AI29,'基础参数'!$N$5:$S$19,4,FALSE),"-")</x:f>
        <x:v>-</x:v>
      </x:c>
      <x:c r="AL29" s="33"/>
      <x:c r="AM29" s="27" t="str">
        <x:v>不适用</x:v>
      </x:c>
      <x:c r="AN29" s="27" t="str">
        <x:v>无异常</x:v>
      </x:c>
      <x:c r="AO29" s="69" t="str"/>
      <x:c r="AP29" s="69" t="str"/>
      <x:c r="AQ29" s="75" t="str">
        <x:f>IF(X29="","",IF(X29&lt;=W29,"是","否"))</x:f>
        <x:v>是</x:v>
      </x:c>
      <x:c r="AR29" s="75" t="str">
        <x:f>IFERROR(VLOOKUP(AI29,'基础参数'!$N$5:$S$19,2,FALSE),"无异常")</x:f>
        <x:v>无异常</x:v>
      </x:c>
    </x:row>
    <x:row r="30" ht="34" customHeight="1">
      <x:c r="A30" s="49" t="str">
        <x:v>PO-26-025</x:v>
      </x:c>
      <x:c r="B30" s="50" t="n">
        <x:v>46067</x:v>
      </x:c>
      <x:c r="C30" s="72" t="str">
        <x:v>C015</x:v>
      </x:c>
      <x:c r="D30" s="75" t="str">
        <x:f>IFERROR(VLOOKUP(C30,'基础参数'!$A$5:$E$22,2,FALSE),"")</x:f>
        <x:v>Desert Moon Trading</x:v>
      </x:c>
      <x:c r="E30" s="75" t="str">
        <x:f>IFERROR(VLOOKUP(C30,'基础参数'!$A$5:$E$22,3,FALSE),"")</x:f>
        <x:v>阿联酋</x:v>
      </x:c>
      <x:c r="F30" s="75" t="str">
        <x:f>IFERROR(VLOOKUP(C30,'基础参数'!$A$5:$E$22,4,FALSE),"")</x:f>
        <x:v>中东</x:v>
      </x:c>
      <x:c r="G30" s="72" t="str">
        <x:v>CHR-110</x:v>
      </x:c>
      <x:c r="H30" s="75" t="str">
        <x:f>IFERROR(VLOOKUP(G30,'基础参数'!$G$5:$L$16,2,FALSE),"")</x:f>
        <x:v>铝合金折叠椅</x:v>
      </x:c>
      <x:c r="I30" s="75" t="str">
        <x:f>IFERROR(VLOOKUP(G30,'基础参数'!$G$5:$L$16,3,FALSE),"")</x:f>
        <x:v>折叠家具</x:v>
      </x:c>
      <x:c r="J30" s="58" t="n">
        <x:v>2050</x:v>
      </x:c>
      <x:c r="K30" s="59" t="n">
        <x:v>23.38</x:v>
      </x:c>
      <x:c r="L30" s="60" t="str">
        <x:v>USD</x:v>
      </x:c>
      <x:c r="M30" s="78" t="n">
        <x:f>J30*K30</x:f>
        <x:v>47929</x:v>
      </x:c>
      <x:c r="N30" s="60" t="str">
        <x:v>FOB</x:v>
      </x:c>
      <x:c r="O30" s="60" t="str">
        <x:v>海运</x:v>
      </x:c>
      <x:c r="P30" s="60" t="str">
        <x:v>COSCO</x:v>
      </x:c>
      <x:c r="Q30" s="60" t="str">
        <x:v>已收款</x:v>
      </x:c>
      <x:c r="R30" s="62" t="n">
        <x:v>46091</x:v>
      </x:c>
      <x:c r="S30" s="62" t="n">
        <x:v>46089</x:v>
      </x:c>
      <x:c r="T30" s="62" t="n">
        <x:v>46095</x:v>
      </x:c>
      <x:c r="U30" s="62" t="n">
        <x:v>46096</x:v>
      </x:c>
      <x:c r="V30" s="62" t="n">
        <x:v>46097</x:v>
      </x:c>
      <x:c r="W30" s="62" t="n">
        <x:v>46129</x:v>
      </x:c>
      <x:c r="X30" s="62" t="n">
        <x:v>46128</x:v>
      </x:c>
      <x:c r="Y30" s="60" t="str">
        <x:v>已签收</x:v>
      </x:c>
      <x:c r="Z30" s="60" t="str">
        <x:v>已签收</x:v>
      </x:c>
      <x:c r="AA30" s="60" t="str">
        <x:v>已完成</x:v>
      </x:c>
      <x:c r="AB30" s="60" t="str">
        <x:v>已完成</x:v>
      </x:c>
      <x:c r="AC30" s="60" t="str">
        <x:v>已完成</x:v>
      </x:c>
      <x:c r="AD30" s="60" t="str">
        <x:v>已完成</x:v>
      </x:c>
      <x:c r="AE30" s="60" t="str">
        <x:v>已完成</x:v>
      </x:c>
      <x:c r="AF30" s="81" t="n">
        <x:f>COUNTIF(AA30:AE30,"已完成")/5</x:f>
        <x:v>1</x:v>
      </x:c>
      <x:c r="AG30" s="75" t="str">
        <x:f>IF(U30&lt;&gt;"","",T30-'基础参数'!$O$2)</x:f>
      </x:c>
      <x:c r="AH30" s="75" t="str">
        <x:f>IF(X30&lt;&gt;"","已完成",IF(U30&lt;&gt;"",IF(U30&gt;T30,"延迟出库","运输中"),IF(T30&lt;'基础参数'!$O$2,"已逾期",IF(T30-'基础参数'!$O$2&lt;=2,"红色预警",IF(T30-'基础参数'!$O$2&lt;=7,"黄色预警","正常")))))</x:f>
        <x:v>已完成</x:v>
      </x:c>
      <x:c r="AI30" s="27" t="str">
        <x:v>无异常</x:v>
      </x:c>
      <x:c r="AJ30" s="27" t="str">
        <x:v>-</x:v>
      </x:c>
      <x:c r="AK30" s="75" t="str">
        <x:f>IFERROR(VLOOKUP(AI30,'基础参数'!$N$5:$S$19,4,FALSE),"-")</x:f>
        <x:v>-</x:v>
      </x:c>
      <x:c r="AL30" s="33"/>
      <x:c r="AM30" s="27" t="str">
        <x:v>不适用</x:v>
      </x:c>
      <x:c r="AN30" s="27" t="str">
        <x:v>无异常</x:v>
      </x:c>
      <x:c r="AO30" s="69" t="str"/>
      <x:c r="AP30" s="69" t="str"/>
      <x:c r="AQ30" s="75" t="str">
        <x:f>IF(X30="","",IF(X30&lt;=W30,"是","否"))</x:f>
        <x:v>是</x:v>
      </x:c>
      <x:c r="AR30" s="75" t="str">
        <x:f>IFERROR(VLOOKUP(AI30,'基础参数'!$N$5:$S$19,2,FALSE),"无异常")</x:f>
        <x:v>无异常</x:v>
      </x:c>
    </x:row>
    <x:row r="31" ht="34" customHeight="1">
      <x:c r="A31" s="49" t="str">
        <x:v>PO-26-026</x:v>
      </x:c>
      <x:c r="B31" s="50" t="n">
        <x:v>46068</x:v>
      </x:c>
      <x:c r="C31" s="72" t="str">
        <x:v>C002</x:v>
      </x:c>
      <x:c r="D31" s="75" t="str">
        <x:f>IFERROR(VLOOKUP(C31,'基础参数'!$A$5:$E$22,2,FALSE),"")</x:f>
        <x:v>Alpine Base SAS</x:v>
      </x:c>
      <x:c r="E31" s="75" t="str">
        <x:f>IFERROR(VLOOKUP(C31,'基础参数'!$A$5:$E$22,3,FALSE),"")</x:f>
        <x:v>法国</x:v>
      </x:c>
      <x:c r="F31" s="75" t="str">
        <x:f>IFERROR(VLOOKUP(C31,'基础参数'!$A$5:$E$22,4,FALSE),"")</x:f>
        <x:v>欧洲</x:v>
      </x:c>
      <x:c r="G31" s="72" t="str">
        <x:v>CKT-150</x:v>
      </x:c>
      <x:c r="H31" s="75" t="str">
        <x:f>IFERROR(VLOOKUP(G31,'基础参数'!$G$5:$L$16,2,FALSE),"")</x:f>
        <x:v>不锈钢炊具套装</x:v>
      </x:c>
      <x:c r="I31" s="75" t="str">
        <x:f>IFERROR(VLOOKUP(G31,'基础参数'!$G$5:$L$16,3,FALSE),"")</x:f>
        <x:v>户外炊具</x:v>
      </x:c>
      <x:c r="J31" s="58" t="n">
        <x:v>1350</x:v>
      </x:c>
      <x:c r="K31" s="59" t="n">
        <x:v>27.8</x:v>
      </x:c>
      <x:c r="L31" s="60" t="str">
        <x:v>EUR</x:v>
      </x:c>
      <x:c r="M31" s="78" t="n">
        <x:f>J31*K31</x:f>
        <x:v>37530</x:v>
      </x:c>
      <x:c r="N31" s="60" t="str">
        <x:v>FOB</x:v>
      </x:c>
      <x:c r="O31" s="60" t="str">
        <x:v>海运</x:v>
      </x:c>
      <x:c r="P31" s="60" t="str">
        <x:v>CMA CGM</x:v>
      </x:c>
      <x:c r="Q31" s="60" t="str">
        <x:v>已收款</x:v>
      </x:c>
      <x:c r="R31" s="62" t="n">
        <x:v>46094</x:v>
      </x:c>
      <x:c r="S31" s="62" t="n">
        <x:v>46095</x:v>
      </x:c>
      <x:c r="T31" s="62" t="n">
        <x:v>46098</x:v>
      </x:c>
      <x:c r="U31" s="62" t="n">
        <x:v>46098</x:v>
      </x:c>
      <x:c r="V31" s="62" t="n">
        <x:v>46099</x:v>
      </x:c>
      <x:c r="W31" s="62" t="n">
        <x:v>46131</x:v>
      </x:c>
      <x:c r="X31" s="62" t="n">
        <x:v>46129</x:v>
      </x:c>
      <x:c r="Y31" s="60" t="str">
        <x:v>已签收</x:v>
      </x:c>
      <x:c r="Z31" s="60" t="str">
        <x:v>已签收</x:v>
      </x:c>
      <x:c r="AA31" s="60" t="str">
        <x:v>已完成</x:v>
      </x:c>
      <x:c r="AB31" s="60" t="str">
        <x:v>已完成</x:v>
      </x:c>
      <x:c r="AC31" s="60" t="str">
        <x:v>已完成</x:v>
      </x:c>
      <x:c r="AD31" s="60" t="str">
        <x:v>已完成</x:v>
      </x:c>
      <x:c r="AE31" s="60" t="str">
        <x:v>已完成</x:v>
      </x:c>
      <x:c r="AF31" s="81" t="n">
        <x:f>COUNTIF(AA31:AE31,"已完成")/5</x:f>
        <x:v>1</x:v>
      </x:c>
      <x:c r="AG31" s="75" t="str">
        <x:f>IF(U31&lt;&gt;"","",T31-'基础参数'!$O$2)</x:f>
      </x:c>
      <x:c r="AH31" s="75" t="str">
        <x:f>IF(X31&lt;&gt;"","已完成",IF(U31&lt;&gt;"",IF(U31&gt;T31,"延迟出库","运输中"),IF(T31&lt;'基础参数'!$O$2,"已逾期",IF(T31-'基础参数'!$O$2&lt;=2,"红色预警",IF(T31-'基础参数'!$O$2&lt;=7,"黄色预警","正常")))))</x:f>
        <x:v>已完成</x:v>
      </x:c>
      <x:c r="AI31" s="27" t="str">
        <x:v>无异常</x:v>
      </x:c>
      <x:c r="AJ31" s="27" t="str">
        <x:v>-</x:v>
      </x:c>
      <x:c r="AK31" s="75" t="str">
        <x:f>IFERROR(VLOOKUP(AI31,'基础参数'!$N$5:$S$19,4,FALSE),"-")</x:f>
        <x:v>-</x:v>
      </x:c>
      <x:c r="AL31" s="33"/>
      <x:c r="AM31" s="27" t="str">
        <x:v>不适用</x:v>
      </x:c>
      <x:c r="AN31" s="27" t="str">
        <x:v>无异常</x:v>
      </x:c>
      <x:c r="AO31" s="69" t="str"/>
      <x:c r="AP31" s="69" t="str"/>
      <x:c r="AQ31" s="75" t="str">
        <x:f>IF(X31="","",IF(X31&lt;=W31,"是","否"))</x:f>
        <x:v>是</x:v>
      </x:c>
      <x:c r="AR31" s="75" t="str">
        <x:f>IFERROR(VLOOKUP(AI31,'基础参数'!$N$5:$S$19,2,FALSE),"无异常")</x:f>
        <x:v>无异常</x:v>
      </x:c>
    </x:row>
    <x:row r="32" ht="34" customHeight="1">
      <x:c r="A32" s="49" t="str">
        <x:v>PO-26-027</x:v>
      </x:c>
      <x:c r="B32" s="50" t="n">
        <x:v>46070</x:v>
      </x:c>
      <x:c r="C32" s="72" t="str">
        <x:v>C008</x:v>
      </x:c>
      <x:c r="D32" s="75" t="str">
        <x:f>IFERROR(VLOOKUP(C32,'基础参数'!$A$5:$E$22,2,FALSE),"")</x:f>
        <x:v>Camp Harbor LLC</x:v>
      </x:c>
      <x:c r="E32" s="75" t="str">
        <x:f>IFERROR(VLOOKUP(C32,'基础参数'!$A$5:$E$22,3,FALSE),"")</x:f>
        <x:v>美国</x:v>
      </x:c>
      <x:c r="F32" s="75" t="str">
        <x:f>IFERROR(VLOOKUP(C32,'基础参数'!$A$5:$E$22,4,FALSE),"")</x:f>
        <x:v>北美</x:v>
      </x:c>
      <x:c r="G32" s="72" t="str">
        <x:v>SLP-210</x:v>
      </x:c>
      <x:c r="H32" s="75" t="str">
        <x:f>IFERROR(VLOOKUP(G32,'基础参数'!$G$5:$L$16,2,FALSE),"")</x:f>
        <x:v>双人保暖睡袋</x:v>
      </x:c>
      <x:c r="I32" s="75" t="str">
        <x:f>IFERROR(VLOOKUP(G32,'基础参数'!$G$5:$L$16,3,FALSE),"")</x:f>
        <x:v>睡袋</x:v>
      </x:c>
      <x:c r="J32" s="58" t="n">
        <x:v>950</x:v>
      </x:c>
      <x:c r="K32" s="59" t="n">
        <x:v>57.64</x:v>
      </x:c>
      <x:c r="L32" s="60" t="str">
        <x:v>USD</x:v>
      </x:c>
      <x:c r="M32" s="78" t="n">
        <x:f>J32*K32</x:f>
        <x:v>54758</x:v>
      </x:c>
      <x:c r="N32" s="60" t="str">
        <x:v>CIF</x:v>
      </x:c>
      <x:c r="O32" s="60" t="str">
        <x:v>海运</x:v>
      </x:c>
      <x:c r="P32" s="60" t="str">
        <x:v>ONE</x:v>
      </x:c>
      <x:c r="Q32" s="60" t="str">
        <x:v>已收款</x:v>
      </x:c>
      <x:c r="R32" s="62" t="n">
        <x:v>46103</x:v>
      </x:c>
      <x:c r="S32" s="62" t="n">
        <x:v>46102</x:v>
      </x:c>
      <x:c r="T32" s="62" t="n">
        <x:v>46107</x:v>
      </x:c>
      <x:c r="U32" s="62" t="n">
        <x:v>46106</x:v>
      </x:c>
      <x:c r="V32" s="62" t="n">
        <x:v>46107</x:v>
      </x:c>
      <x:c r="W32" s="62" t="n">
        <x:v>46139</x:v>
      </x:c>
      <x:c r="X32" s="62" t="n">
        <x:v>46139</x:v>
      </x:c>
      <x:c r="Y32" s="60" t="str">
        <x:v>已签收</x:v>
      </x:c>
      <x:c r="Z32" s="60" t="str">
        <x:v>已签收</x:v>
      </x:c>
      <x:c r="AA32" s="60" t="str">
        <x:v>已完成</x:v>
      </x:c>
      <x:c r="AB32" s="60" t="str">
        <x:v>已完成</x:v>
      </x:c>
      <x:c r="AC32" s="60" t="str">
        <x:v>已完成</x:v>
      </x:c>
      <x:c r="AD32" s="60" t="str">
        <x:v>已完成</x:v>
      </x:c>
      <x:c r="AE32" s="60" t="str">
        <x:v>已完成</x:v>
      </x:c>
      <x:c r="AF32" s="81" t="n">
        <x:f>COUNTIF(AA32:AE32,"已完成")/5</x:f>
        <x:v>1</x:v>
      </x:c>
      <x:c r="AG32" s="75" t="str">
        <x:f>IF(U32&lt;&gt;"","",T32-'基础参数'!$O$2)</x:f>
      </x:c>
      <x:c r="AH32" s="75" t="str">
        <x:f>IF(X32&lt;&gt;"","已完成",IF(U32&lt;&gt;"",IF(U32&gt;T32,"延迟出库","运输中"),IF(T32&lt;'基础参数'!$O$2,"已逾期",IF(T32-'基础参数'!$O$2&lt;=2,"红色预警",IF(T32-'基础参数'!$O$2&lt;=7,"黄色预警","正常")))))</x:f>
        <x:v>已完成</x:v>
      </x:c>
      <x:c r="AI32" s="27" t="str">
        <x:v>无异常</x:v>
      </x:c>
      <x:c r="AJ32" s="27" t="str">
        <x:v>-</x:v>
      </x:c>
      <x:c r="AK32" s="75" t="str">
        <x:f>IFERROR(VLOOKUP(AI32,'基础参数'!$N$5:$S$19,4,FALSE),"-")</x:f>
        <x:v>-</x:v>
      </x:c>
      <x:c r="AL32" s="33"/>
      <x:c r="AM32" s="27" t="str">
        <x:v>不适用</x:v>
      </x:c>
      <x:c r="AN32" s="27" t="str">
        <x:v>无异常</x:v>
      </x:c>
      <x:c r="AO32" s="69" t="str"/>
      <x:c r="AP32" s="69" t="str"/>
      <x:c r="AQ32" s="75" t="str">
        <x:f>IF(X32="","",IF(X32&lt;=W32,"是","否"))</x:f>
        <x:v>是</x:v>
      </x:c>
      <x:c r="AR32" s="75" t="str">
        <x:f>IFERROR(VLOOKUP(AI32,'基础参数'!$N$5:$S$19,2,FALSE),"无异常")</x:f>
        <x:v>无异常</x:v>
      </x:c>
    </x:row>
    <x:row r="33" ht="34" customHeight="1">
      <x:c r="A33" s="49" t="str">
        <x:v>PO-26-028</x:v>
      </x:c>
      <x:c r="B33" s="50" t="n">
        <x:v>46072</x:v>
      </x:c>
      <x:c r="C33" s="72" t="str">
        <x:v>C013</x:v>
      </x:c>
      <x:c r="D33" s="75" t="str">
        <x:f>IFERROR(VLOOKUP(C33,'基础参数'!$A$5:$E$22,2,FALSE),"")</x:f>
        <x:v>Coast &amp; Camp Pty</x:v>
      </x:c>
      <x:c r="E33" s="75" t="str">
        <x:f>IFERROR(VLOOKUP(C33,'基础参数'!$A$5:$E$22,3,FALSE),"")</x:f>
        <x:v>澳大利亚</x:v>
      </x:c>
      <x:c r="F33" s="75" t="str">
        <x:f>IFERROR(VLOOKUP(C33,'基础参数'!$A$5:$E$22,4,FALSE),"")</x:f>
        <x:v>澳洲</x:v>
      </x:c>
      <x:c r="G33" s="72" t="str">
        <x:v>TEN-210</x:v>
      </x:c>
      <x:c r="H33" s="75" t="str">
        <x:f>IFERROR(VLOOKUP(G33,'基础参数'!$G$5:$L$16,2,FALSE),"")</x:f>
        <x:v>双人轻量帐篷</x:v>
      </x:c>
      <x:c r="I33" s="75" t="str">
        <x:f>IFERROR(VLOOKUP(G33,'基础参数'!$G$5:$L$16,3,FALSE),"")</x:f>
        <x:v>帐篷</x:v>
      </x:c>
      <x:c r="J33" s="58" t="n">
        <x:v>750</x:v>
      </x:c>
      <x:c r="K33" s="59" t="n">
        <x:v>61.09</x:v>
      </x:c>
      <x:c r="L33" s="60" t="str">
        <x:v>USD</x:v>
      </x:c>
      <x:c r="M33" s="78" t="n">
        <x:f>J33*K33</x:f>
        <x:v>45817.5</x:v>
      </x:c>
      <x:c r="N33" s="60" t="str">
        <x:v>DDP</x:v>
      </x:c>
      <x:c r="O33" s="60" t="str">
        <x:v>海运</x:v>
      </x:c>
      <x:c r="P33" s="60" t="str">
        <x:v>Maersk</x:v>
      </x:c>
      <x:c r="Q33" s="60" t="str">
        <x:v>已收款</x:v>
      </x:c>
      <x:c r="R33" s="62" t="n">
        <x:v>46104</x:v>
      </x:c>
      <x:c r="S33" s="62" t="n">
        <x:v>46102</x:v>
      </x:c>
      <x:c r="T33" s="62" t="n">
        <x:v>46108</x:v>
      </x:c>
      <x:c r="U33" s="62" t="n">
        <x:v>46116</x:v>
      </x:c>
      <x:c r="V33" s="62" t="n">
        <x:v>46117</x:v>
      </x:c>
      <x:c r="W33" s="62" t="n">
        <x:v>46156</x:v>
      </x:c>
      <x:c r="X33" s="62" t="n">
        <x:v>46154</x:v>
      </x:c>
      <x:c r="Y33" s="60" t="str">
        <x:v>已签收</x:v>
      </x:c>
      <x:c r="Z33" s="60" t="str">
        <x:v>已签收</x:v>
      </x:c>
      <x:c r="AA33" s="60" t="str">
        <x:v>已完成</x:v>
      </x:c>
      <x:c r="AB33" s="60" t="str">
        <x:v>已完成</x:v>
      </x:c>
      <x:c r="AC33" s="60" t="str">
        <x:v>已完成</x:v>
      </x:c>
      <x:c r="AD33" s="60" t="str">
        <x:v>已完成</x:v>
      </x:c>
      <x:c r="AE33" s="60" t="str">
        <x:v>已完成</x:v>
      </x:c>
      <x:c r="AF33" s="81" t="n">
        <x:f>COUNTIF(AA33:AE33,"已完成")/5</x:f>
        <x:v>1</x:v>
      </x:c>
      <x:c r="AG33" s="75" t="str">
        <x:f>IF(U33&lt;&gt;"","",T33-'基础参数'!$O$2)</x:f>
      </x:c>
      <x:c r="AH33" s="75" t="str">
        <x:f>IF(X33&lt;&gt;"","已完成",IF(U33&lt;&gt;"",IF(U33&gt;T33,"延迟出库","运输中"),IF(T33&lt;'基础参数'!$O$2,"已逾期",IF(T33-'基础参数'!$O$2&lt;=2,"红色预警",IF(T33-'基础参数'!$O$2&lt;=7,"黄色预警","正常")))))</x:f>
        <x:v>已完成</x:v>
      </x:c>
      <x:c r="AI33" s="27" t="str">
        <x:v>甩柜/船期变更</x:v>
      </x:c>
      <x:c r="AJ33" s="27" t="str">
        <x:v>A级</x:v>
      </x:c>
      <x:c r="AK33" s="75" t="str">
        <x:f>IFERROR(VLOOKUP(AI33,'基础参数'!$N$5:$S$19,4,FALSE),"-")</x:f>
        <x:v>物流主管</x:v>
      </x:c>
      <x:c r="AL33" s="33" t="n">
        <x:v>46106</x:v>
      </x:c>
      <x:c r="AM33" s="27" t="str">
        <x:v>已通知</x:v>
      </x:c>
      <x:c r="AN33" s="27" t="str">
        <x:v>已关闭</x:v>
      </x:c>
      <x:c r="AO33" s="69" t="str">
        <x:v>甩柜/船期变更导致计划节点存在重大偏差</x:v>
      </x:c>
      <x:c r="AP33" s="69" t="str">
        <x:v>已完成补救并取得客户确认</x:v>
      </x:c>
      <x:c r="AQ33" s="75" t="str">
        <x:f>IF(X33="","",IF(X33&lt;=W33,"是","否"))</x:f>
        <x:v>是</x:v>
      </x:c>
      <x:c r="AR33" s="75" t="str">
        <x:f>IFERROR(VLOOKUP(AI33,'基础参数'!$N$5:$S$19,2,FALSE),"无异常")</x:f>
        <x:v>出运</x:v>
      </x:c>
    </x:row>
    <x:row r="34" ht="34" customHeight="1">
      <x:c r="A34" s="49" t="str">
        <x:v>PO-26-029</x:v>
      </x:c>
      <x:c r="B34" s="50" t="n">
        <x:v>46074</x:v>
      </x:c>
      <x:c r="C34" s="72" t="str">
        <x:v>C018</x:v>
      </x:c>
      <x:c r="D34" s="75" t="str">
        <x:f>IFERROR(VLOOKUP(C34,'基础参数'!$A$5:$E$22,2,FALSE),"")</x:f>
        <x:v>Lion City Gear</x:v>
      </x:c>
      <x:c r="E34" s="75" t="str">
        <x:f>IFERROR(VLOOKUP(C34,'基础参数'!$A$5:$E$22,3,FALSE),"")</x:f>
        <x:v>新加坡</x:v>
      </x:c>
      <x:c r="F34" s="75" t="str">
        <x:f>IFERROR(VLOOKUP(C34,'基础参数'!$A$5:$E$22,4,FALSE),"")</x:f>
        <x:v>亚洲</x:v>
      </x:c>
      <x:c r="G34" s="72" t="str">
        <x:v>MAT-160</x:v>
      </x:c>
      <x:c r="H34" s="75" t="str">
        <x:f>IFERROR(VLOOKUP(G34,'基础参数'!$G$5:$L$16,2,FALSE),"")</x:f>
        <x:v>防水野餐垫</x:v>
      </x:c>
      <x:c r="I34" s="75" t="str">
        <x:f>IFERROR(VLOOKUP(G34,'基础参数'!$G$5:$L$16,3,FALSE),"")</x:f>
        <x:v>野餐垫</x:v>
      </x:c>
      <x:c r="J34" s="58" t="n">
        <x:v>1000</x:v>
      </x:c>
      <x:c r="K34" s="59" t="n">
        <x:v>13.18</x:v>
      </x:c>
      <x:c r="L34" s="60" t="str">
        <x:v>USD</x:v>
      </x:c>
      <x:c r="M34" s="78" t="n">
        <x:f>J34*K34</x:f>
        <x:v>13180</x:v>
      </x:c>
      <x:c r="N34" s="60" t="str">
        <x:v>FOB</x:v>
      </x:c>
      <x:c r="O34" s="60" t="str">
        <x:v>海运</x:v>
      </x:c>
      <x:c r="P34" s="60" t="str">
        <x:v>CMA CGM</x:v>
      </x:c>
      <x:c r="Q34" s="60" t="str">
        <x:v>已收款</x:v>
      </x:c>
      <x:c r="R34" s="62" t="n">
        <x:v>46092</x:v>
      </x:c>
      <x:c r="S34" s="62" t="n">
        <x:v>46093</x:v>
      </x:c>
      <x:c r="T34" s="62" t="n">
        <x:v>46096</x:v>
      </x:c>
      <x:c r="U34" s="62" t="n">
        <x:v>46098</x:v>
      </x:c>
      <x:c r="V34" s="62" t="n">
        <x:v>46099</x:v>
      </x:c>
      <x:c r="W34" s="62" t="n">
        <x:v>46131</x:v>
      </x:c>
      <x:c r="X34" s="62" t="n">
        <x:v>46129</x:v>
      </x:c>
      <x:c r="Y34" s="60" t="str">
        <x:v>已签收</x:v>
      </x:c>
      <x:c r="Z34" s="60" t="str">
        <x:v>已签收</x:v>
      </x:c>
      <x:c r="AA34" s="60" t="str">
        <x:v>已完成</x:v>
      </x:c>
      <x:c r="AB34" s="60" t="str">
        <x:v>已完成</x:v>
      </x:c>
      <x:c r="AC34" s="60" t="str">
        <x:v>已完成</x:v>
      </x:c>
      <x:c r="AD34" s="60" t="str">
        <x:v>已完成</x:v>
      </x:c>
      <x:c r="AE34" s="60" t="str">
        <x:v>已完成</x:v>
      </x:c>
      <x:c r="AF34" s="81" t="n">
        <x:f>COUNTIF(AA34:AE34,"已完成")/5</x:f>
        <x:v>1</x:v>
      </x:c>
      <x:c r="AG34" s="75" t="str">
        <x:f>IF(U34&lt;&gt;"","",T34-'基础参数'!$O$2)</x:f>
      </x:c>
      <x:c r="AH34" s="75" t="str">
        <x:f>IF(X34&lt;&gt;"","已完成",IF(U34&lt;&gt;"",IF(U34&gt;T34,"延迟出库","运输中"),IF(T34&lt;'基础参数'!$O$2,"已逾期",IF(T34-'基础参数'!$O$2&lt;=2,"红色预警",IF(T34-'基础参数'!$O$2&lt;=7,"黄色预警","正常")))))</x:f>
        <x:v>已完成</x:v>
      </x:c>
      <x:c r="AI34" s="27" t="str">
        <x:v>无异常</x:v>
      </x:c>
      <x:c r="AJ34" s="27" t="str">
        <x:v>-</x:v>
      </x:c>
      <x:c r="AK34" s="75" t="str">
        <x:f>IFERROR(VLOOKUP(AI34,'基础参数'!$N$5:$S$19,4,FALSE),"-")</x:f>
        <x:v>-</x:v>
      </x:c>
      <x:c r="AL34" s="33"/>
      <x:c r="AM34" s="27" t="str">
        <x:v>不适用</x:v>
      </x:c>
      <x:c r="AN34" s="27" t="str">
        <x:v>无异常</x:v>
      </x:c>
      <x:c r="AO34" s="69" t="str"/>
      <x:c r="AP34" s="69" t="str"/>
      <x:c r="AQ34" s="75" t="str">
        <x:f>IF(X34="","",IF(X34&lt;=W34,"是","否"))</x:f>
        <x:v>是</x:v>
      </x:c>
      <x:c r="AR34" s="75" t="str">
        <x:f>IFERROR(VLOOKUP(AI34,'基础参数'!$N$5:$S$19,2,FALSE),"无异常")</x:f>
        <x:v>无异常</x:v>
      </x:c>
    </x:row>
    <x:row r="35" ht="34" customHeight="1">
      <x:c r="A35" s="49" t="str">
        <x:v>PO-26-030</x:v>
      </x:c>
      <x:c r="B35" s="50" t="n">
        <x:v>46075</x:v>
      </x:c>
      <x:c r="C35" s="72" t="str">
        <x:v>C005</x:v>
      </x:c>
      <x:c r="D35" s="75" t="str">
        <x:f>IFERROR(VLOOKUP(C35,'基础参数'!$A$5:$E$22,2,FALSE),"")</x:f>
        <x:v>Terra Outdoor SRL</x:v>
      </x:c>
      <x:c r="E35" s="75" t="str">
        <x:f>IFERROR(VLOOKUP(C35,'基础参数'!$A$5:$E$22,3,FALSE),"")</x:f>
        <x:v>意大利</x:v>
      </x:c>
      <x:c r="F35" s="75" t="str">
        <x:f>IFERROR(VLOOKUP(C35,'基础参数'!$A$5:$E$22,4,FALSE),"")</x:f>
        <x:v>欧洲</x:v>
      </x:c>
      <x:c r="G35" s="72" t="str">
        <x:v>STV-260</x:v>
      </x:c>
      <x:c r="H35" s="75" t="str">
        <x:f>IFERROR(VLOOKUP(G35,'基础参数'!$G$5:$L$16,2,FALSE),"")</x:f>
        <x:v>便携卡式炉</x:v>
      </x:c>
      <x:c r="I35" s="75" t="str">
        <x:f>IFERROR(VLOOKUP(G35,'基础参数'!$G$5:$L$16,3,FALSE),"")</x:f>
        <x:v>户外炊具</x:v>
      </x:c>
      <x:c r="J35" s="58" t="n">
        <x:v>1200</x:v>
      </x:c>
      <x:c r="K35" s="59" t="n">
        <x:v>35.77</x:v>
      </x:c>
      <x:c r="L35" s="60" t="str">
        <x:v>EUR</x:v>
      </x:c>
      <x:c r="M35" s="78" t="n">
        <x:f>J35*K35</x:f>
        <x:v>42924.00000000001</x:v>
      </x:c>
      <x:c r="N35" s="60" t="str">
        <x:v>DDP</x:v>
      </x:c>
      <x:c r="O35" s="60" t="str">
        <x:v>海运</x:v>
      </x:c>
      <x:c r="P35" s="60" t="str">
        <x:v>Maersk</x:v>
      </x:c>
      <x:c r="Q35" s="60" t="str">
        <x:v>已收款</x:v>
      </x:c>
      <x:c r="R35" s="62" t="n">
        <x:v>46105</x:v>
      </x:c>
      <x:c r="S35" s="62" t="n">
        <x:v>46103</x:v>
      </x:c>
      <x:c r="T35" s="62" t="n">
        <x:v>46109</x:v>
      </x:c>
      <x:c r="U35" s="62" t="n">
        <x:v>46110</x:v>
      </x:c>
      <x:c r="V35" s="62" t="n">
        <x:v>46111</x:v>
      </x:c>
      <x:c r="W35" s="62" t="n">
        <x:v>46143</x:v>
      </x:c>
      <x:c r="X35" s="62" t="n">
        <x:v>46141</x:v>
      </x:c>
      <x:c r="Y35" s="60" t="str">
        <x:v>已签收</x:v>
      </x:c>
      <x:c r="Z35" s="60" t="str">
        <x:v>已签收</x:v>
      </x:c>
      <x:c r="AA35" s="60" t="str">
        <x:v>已完成</x:v>
      </x:c>
      <x:c r="AB35" s="60" t="str">
        <x:v>已完成</x:v>
      </x:c>
      <x:c r="AC35" s="60" t="str">
        <x:v>已完成</x:v>
      </x:c>
      <x:c r="AD35" s="60" t="str">
        <x:v>已完成</x:v>
      </x:c>
      <x:c r="AE35" s="60" t="str">
        <x:v>已完成</x:v>
      </x:c>
      <x:c r="AF35" s="81" t="n">
        <x:f>COUNTIF(AA35:AE35,"已完成")/5</x:f>
        <x:v>1</x:v>
      </x:c>
      <x:c r="AG35" s="75" t="str">
        <x:f>IF(U35&lt;&gt;"","",T35-'基础参数'!$O$2)</x:f>
      </x:c>
      <x:c r="AH35" s="75" t="str">
        <x:f>IF(X35&lt;&gt;"","已完成",IF(U35&lt;&gt;"",IF(U35&gt;T35,"延迟出库","运输中"),IF(T35&lt;'基础参数'!$O$2,"已逾期",IF(T35-'基础参数'!$O$2&lt;=2,"红色预警",IF(T35-'基础参数'!$O$2&lt;=7,"黄色预警","正常")))))</x:f>
        <x:v>已完成</x:v>
      </x:c>
      <x:c r="AI35" s="27" t="str">
        <x:v>无异常</x:v>
      </x:c>
      <x:c r="AJ35" s="27" t="str">
        <x:v>-</x:v>
      </x:c>
      <x:c r="AK35" s="75" t="str">
        <x:f>IFERROR(VLOOKUP(AI35,'基础参数'!$N$5:$S$19,4,FALSE),"-")</x:f>
        <x:v>-</x:v>
      </x:c>
      <x:c r="AL35" s="33"/>
      <x:c r="AM35" s="27" t="str">
        <x:v>不适用</x:v>
      </x:c>
      <x:c r="AN35" s="27" t="str">
        <x:v>无异常</x:v>
      </x:c>
      <x:c r="AO35" s="69" t="str"/>
      <x:c r="AP35" s="69" t="str"/>
      <x:c r="AQ35" s="75" t="str">
        <x:f>IF(X35="","",IF(X35&lt;=W35,"是","否"))</x:f>
        <x:v>是</x:v>
      </x:c>
      <x:c r="AR35" s="75" t="str">
        <x:f>IFERROR(VLOOKUP(AI35,'基础参数'!$N$5:$S$19,2,FALSE),"无异常")</x:f>
        <x:v>无异常</x:v>
      </x:c>
    </x:row>
    <x:row r="36" ht="34" customHeight="1">
      <x:c r="A36" s="49" t="str">
        <x:v>PO-26-031</x:v>
      </x:c>
      <x:c r="B36" s="50" t="n">
        <x:v>46077</x:v>
      </x:c>
      <x:c r="C36" s="72" t="str">
        <x:v>C010</x:v>
      </x:c>
      <x:c r="D36" s="75" t="str">
        <x:f>IFERROR(VLOOKUP(C36,'基础参数'!$A$5:$E$22,2,FALSE),"")</x:f>
        <x:v>TrailWorks Co.</x:v>
      </x:c>
      <x:c r="E36" s="75" t="str">
        <x:f>IFERROR(VLOOKUP(C36,'基础参数'!$A$5:$E$22,3,FALSE),"")</x:f>
        <x:v>美国</x:v>
      </x:c>
      <x:c r="F36" s="75" t="str">
        <x:f>IFERROR(VLOOKUP(C36,'基础参数'!$A$5:$E$22,4,FALSE),"")</x:f>
        <x:v>北美</x:v>
      </x:c>
      <x:c r="G36" s="72" t="str">
        <x:v>LGT-240</x:v>
      </x:c>
      <x:c r="H36" s="75" t="str">
        <x:f>IFERROR(VLOOKUP(G36,'基础参数'!$G$5:$L$16,2,FALSE),"")</x:f>
        <x:v>太阳能营地灯串</x:v>
      </x:c>
      <x:c r="I36" s="75" t="str">
        <x:f>IFERROR(VLOOKUP(G36,'基础参数'!$G$5:$L$16,3,FALSE),"")</x:f>
        <x:v>露营照明</x:v>
      </x:c>
      <x:c r="J36" s="58" t="n">
        <x:v>2250</x:v>
      </x:c>
      <x:c r="K36" s="59" t="n">
        <x:v>24.83</x:v>
      </x:c>
      <x:c r="L36" s="60" t="str">
        <x:v>USD</x:v>
      </x:c>
      <x:c r="M36" s="78" t="n">
        <x:f>J36*K36</x:f>
        <x:v>55867.49999999999</x:v>
      </x:c>
      <x:c r="N36" s="60" t="str">
        <x:v>CIF</x:v>
      </x:c>
      <x:c r="O36" s="60" t="str">
        <x:v>海运</x:v>
      </x:c>
      <x:c r="P36" s="60" t="str">
        <x:v>Maersk</x:v>
      </x:c>
      <x:c r="Q36" s="60" t="str">
        <x:v>已收款</x:v>
      </x:c>
      <x:c r="R36" s="62" t="n">
        <x:v>46102</x:v>
      </x:c>
      <x:c r="S36" s="62" t="n">
        <x:v>46101</x:v>
      </x:c>
      <x:c r="T36" s="62" t="n">
        <x:v>46106</x:v>
      </x:c>
      <x:c r="U36" s="62" t="n">
        <x:v>46105</x:v>
      </x:c>
      <x:c r="V36" s="62" t="n">
        <x:v>46106</x:v>
      </x:c>
      <x:c r="W36" s="62" t="n">
        <x:v>46138</x:v>
      </x:c>
      <x:c r="X36" s="62" t="n">
        <x:v>46137</x:v>
      </x:c>
      <x:c r="Y36" s="60" t="str">
        <x:v>已签收</x:v>
      </x:c>
      <x:c r="Z36" s="60" t="str">
        <x:v>已签收</x:v>
      </x:c>
      <x:c r="AA36" s="60" t="str">
        <x:v>已完成</x:v>
      </x:c>
      <x:c r="AB36" s="60" t="str">
        <x:v>已完成</x:v>
      </x:c>
      <x:c r="AC36" s="60" t="str">
        <x:v>已完成</x:v>
      </x:c>
      <x:c r="AD36" s="60" t="str">
        <x:v>已完成</x:v>
      </x:c>
      <x:c r="AE36" s="60" t="str">
        <x:v>已完成</x:v>
      </x:c>
      <x:c r="AF36" s="81" t="n">
        <x:f>COUNTIF(AA36:AE36,"已完成")/5</x:f>
        <x:v>1</x:v>
      </x:c>
      <x:c r="AG36" s="75" t="str">
        <x:f>IF(U36&lt;&gt;"","",T36-'基础参数'!$O$2)</x:f>
      </x:c>
      <x:c r="AH36" s="75" t="str">
        <x:f>IF(X36&lt;&gt;"","已完成",IF(U36&lt;&gt;"",IF(U36&gt;T36,"延迟出库","运输中"),IF(T36&lt;'基础参数'!$O$2,"已逾期",IF(T36-'基础参数'!$O$2&lt;=2,"红色预警",IF(T36-'基础参数'!$O$2&lt;=7,"黄色预警","正常")))))</x:f>
        <x:v>已完成</x:v>
      </x:c>
      <x:c r="AI36" s="27" t="str">
        <x:v>无异常</x:v>
      </x:c>
      <x:c r="AJ36" s="27" t="str">
        <x:v>-</x:v>
      </x:c>
      <x:c r="AK36" s="75" t="str">
        <x:f>IFERROR(VLOOKUP(AI36,'基础参数'!$N$5:$S$19,4,FALSE),"-")</x:f>
        <x:v>-</x:v>
      </x:c>
      <x:c r="AL36" s="33"/>
      <x:c r="AM36" s="27" t="str">
        <x:v>不适用</x:v>
      </x:c>
      <x:c r="AN36" s="27" t="str">
        <x:v>无异常</x:v>
      </x:c>
      <x:c r="AO36" s="69" t="str"/>
      <x:c r="AP36" s="69" t="str"/>
      <x:c r="AQ36" s="75" t="str">
        <x:f>IF(X36="","",IF(X36&lt;=W36,"是","否"))</x:f>
        <x:v>是</x:v>
      </x:c>
      <x:c r="AR36" s="75" t="str">
        <x:f>IFERROR(VLOOKUP(AI36,'基础参数'!$N$5:$S$19,2,FALSE),"无异常")</x:f>
        <x:v>无异常</x:v>
      </x:c>
    </x:row>
    <x:row r="37" ht="34" customHeight="1">
      <x:c r="A37" s="49" t="str">
        <x:v>PO-26-032</x:v>
      </x:c>
      <x:c r="B37" s="50" t="n">
        <x:v>46079</x:v>
      </x:c>
      <x:c r="C37" s="72" t="str">
        <x:v>C016</x:v>
      </x:c>
      <x:c r="D37" s="75" t="str">
        <x:f>IFERROR(VLOOKUP(C37,'基础参数'!$A$5:$E$22,2,FALSE),"")</x:f>
        <x:v>Sakura Field Co.</x:v>
      </x:c>
      <x:c r="E37" s="75" t="str">
        <x:f>IFERROR(VLOOKUP(C37,'基础参数'!$A$5:$E$22,3,FALSE),"")</x:f>
        <x:v>日本</x:v>
      </x:c>
      <x:c r="F37" s="75" t="str">
        <x:f>IFERROR(VLOOKUP(C37,'基础参数'!$A$5:$E$22,4,FALSE),"")</x:f>
        <x:v>亚洲</x:v>
      </x:c>
      <x:c r="G37" s="72" t="str">
        <x:v>TBL-220</x:v>
      </x:c>
      <x:c r="H37" s="75" t="str">
        <x:f>IFERROR(VLOOKUP(G37,'基础参数'!$G$5:$L$16,2,FALSE),"")</x:f>
        <x:v>便携折叠桌</x:v>
      </x:c>
      <x:c r="I37" s="75" t="str">
        <x:f>IFERROR(VLOOKUP(G37,'基础参数'!$G$5:$L$16,3,FALSE),"")</x:f>
        <x:v>折叠家具</x:v>
      </x:c>
      <x:c r="J37" s="58" t="n">
        <x:v>1950</x:v>
      </x:c>
      <x:c r="K37" s="59" t="n">
        <x:v>41.57</x:v>
      </x:c>
      <x:c r="L37" s="60" t="str">
        <x:v>USD</x:v>
      </x:c>
      <x:c r="M37" s="78" t="n">
        <x:f>J37*K37</x:f>
        <x:v>81061.5</x:v>
      </x:c>
      <x:c r="N37" s="60" t="str">
        <x:v>FOB</x:v>
      </x:c>
      <x:c r="O37" s="60" t="str">
        <x:v>海运</x:v>
      </x:c>
      <x:c r="P37" s="60" t="str">
        <x:v>COSCO</x:v>
      </x:c>
      <x:c r="Q37" s="60" t="str">
        <x:v>已收款</x:v>
      </x:c>
      <x:c r="R37" s="62" t="n">
        <x:v>46106</x:v>
      </x:c>
      <x:c r="S37" s="62" t="n">
        <x:v>46105</x:v>
      </x:c>
      <x:c r="T37" s="62" t="n">
        <x:v>46110</x:v>
      </x:c>
      <x:c r="U37" s="62" t="n">
        <x:v>46117</x:v>
      </x:c>
      <x:c r="V37" s="62" t="n">
        <x:v>46118</x:v>
      </x:c>
      <x:c r="W37" s="62" t="n">
        <x:v>46150</x:v>
      </x:c>
      <x:c r="X37" s="62" t="n">
        <x:v>46148</x:v>
      </x:c>
      <x:c r="Y37" s="60" t="str">
        <x:v>已签收</x:v>
      </x:c>
      <x:c r="Z37" s="60" t="str">
        <x:v>已签收</x:v>
      </x:c>
      <x:c r="AA37" s="60" t="str">
        <x:v>已完成</x:v>
      </x:c>
      <x:c r="AB37" s="60" t="str">
        <x:v>已完成</x:v>
      </x:c>
      <x:c r="AC37" s="60" t="str">
        <x:v>已完成</x:v>
      </x:c>
      <x:c r="AD37" s="60" t="str">
        <x:v>已完成</x:v>
      </x:c>
      <x:c r="AE37" s="60" t="str">
        <x:v>已完成</x:v>
      </x:c>
      <x:c r="AF37" s="81" t="n">
        <x:f>COUNTIF(AA37:AE37,"已完成")/5</x:f>
        <x:v>1</x:v>
      </x:c>
      <x:c r="AG37" s="75" t="str">
        <x:f>IF(U37&lt;&gt;"","",T37-'基础参数'!$O$2)</x:f>
      </x:c>
      <x:c r="AH37" s="75" t="str">
        <x:f>IF(X37&lt;&gt;"","已完成",IF(U37&lt;&gt;"",IF(U37&gt;T37,"延迟出库","运输中"),IF(T37&lt;'基础参数'!$O$2,"已逾期",IF(T37-'基础参数'!$O$2&lt;=2,"红色预警",IF(T37-'基础参数'!$O$2&lt;=7,"黄色预警","正常")))))</x:f>
        <x:v>已完成</x:v>
      </x:c>
      <x:c r="AI37" s="27" t="str">
        <x:v>付款延迟</x:v>
      </x:c>
      <x:c r="AJ37" s="27" t="str">
        <x:v>B级</x:v>
      </x:c>
      <x:c r="AK37" s="75" t="str">
        <x:f>IFERROR(VLOOKUP(AI37,'基础参数'!$N$5:$S$19,4,FALSE),"-")</x:f>
        <x:v>销售经理</x:v>
      </x:c>
      <x:c r="AL37" s="33" t="n">
        <x:v>46108</x:v>
      </x:c>
      <x:c r="AM37" s="27" t="str">
        <x:v>已通知</x:v>
      </x:c>
      <x:c r="AN37" s="27" t="str">
        <x:v>已关闭</x:v>
      </x:c>
      <x:c r="AO37" s="69" t="str">
        <x:v>付款延迟导致计划节点存在一般偏差</x:v>
      </x:c>
      <x:c r="AP37" s="69" t="str">
        <x:v>已完成补救并取得客户确认</x:v>
      </x:c>
      <x:c r="AQ37" s="75" t="str">
        <x:f>IF(X37="","",IF(X37&lt;=W37,"是","否"))</x:f>
        <x:v>是</x:v>
      </x:c>
      <x:c r="AR37" s="75" t="str">
        <x:f>IFERROR(VLOOKUP(AI37,'基础参数'!$N$5:$S$19,2,FALSE),"无异常")</x:f>
        <x:v>订单与商务</x:v>
      </x:c>
    </x:row>
    <x:row r="38" ht="34" customHeight="1">
      <x:c r="A38" s="49" t="str">
        <x:v>PO-26-033</x:v>
      </x:c>
      <x:c r="B38" s="50" t="n">
        <x:v>46081</x:v>
      </x:c>
      <x:c r="C38" s="72" t="str">
        <x:v>C002</x:v>
      </x:c>
      <x:c r="D38" s="75" t="str">
        <x:f>IFERROR(VLOOKUP(C38,'基础参数'!$A$5:$E$22,2,FALSE),"")</x:f>
        <x:v>Alpine Base SAS</x:v>
      </x:c>
      <x:c r="E38" s="75" t="str">
        <x:f>IFERROR(VLOOKUP(C38,'基础参数'!$A$5:$E$22,3,FALSE),"")</x:f>
        <x:v>法国</x:v>
      </x:c>
      <x:c r="F38" s="75" t="str">
        <x:f>IFERROR(VLOOKUP(C38,'基础参数'!$A$5:$E$22,4,FALSE),"")</x:f>
        <x:v>欧洲</x:v>
      </x:c>
      <x:c r="G38" s="72" t="str">
        <x:v>LGT-240</x:v>
      </x:c>
      <x:c r="H38" s="75" t="str">
        <x:f>IFERROR(VLOOKUP(G38,'基础参数'!$G$5:$L$16,2,FALSE),"")</x:f>
        <x:v>太阳能营地灯串</x:v>
      </x:c>
      <x:c r="I38" s="75" t="str">
        <x:f>IFERROR(VLOOKUP(G38,'基础参数'!$G$5:$L$16,3,FALSE),"")</x:f>
        <x:v>露营照明</x:v>
      </x:c>
      <x:c r="J38" s="58" t="n">
        <x:v>1550</x:v>
      </x:c>
      <x:c r="K38" s="59" t="n">
        <x:v>26.48</x:v>
      </x:c>
      <x:c r="L38" s="60" t="str">
        <x:v>EUR</x:v>
      </x:c>
      <x:c r="M38" s="78" t="n">
        <x:f>J38*K38</x:f>
        <x:v>41044</x:v>
      </x:c>
      <x:c r="N38" s="60" t="str">
        <x:v>FOB</x:v>
      </x:c>
      <x:c r="O38" s="60" t="str">
        <x:v>海运</x:v>
      </x:c>
      <x:c r="P38" s="60" t="str">
        <x:v>Maersk</x:v>
      </x:c>
      <x:c r="Q38" s="60" t="str">
        <x:v>已收款</x:v>
      </x:c>
      <x:c r="R38" s="62" t="n">
        <x:v>46106</x:v>
      </x:c>
      <x:c r="S38" s="62" t="n">
        <x:v>46107</x:v>
      </x:c>
      <x:c r="T38" s="62" t="n">
        <x:v>46110</x:v>
      </x:c>
      <x:c r="U38" s="62" t="n">
        <x:v>46110</x:v>
      </x:c>
      <x:c r="V38" s="62" t="n">
        <x:v>46111</x:v>
      </x:c>
      <x:c r="W38" s="62" t="n">
        <x:v>46143</x:v>
      </x:c>
      <x:c r="X38" s="62" t="n">
        <x:v>46143</x:v>
      </x:c>
      <x:c r="Y38" s="60" t="str">
        <x:v>已签收</x:v>
      </x:c>
      <x:c r="Z38" s="60" t="str">
        <x:v>已签收</x:v>
      </x:c>
      <x:c r="AA38" s="60" t="str">
        <x:v>已完成</x:v>
      </x:c>
      <x:c r="AB38" s="60" t="str">
        <x:v>已完成</x:v>
      </x:c>
      <x:c r="AC38" s="60" t="str">
        <x:v>已完成</x:v>
      </x:c>
      <x:c r="AD38" s="60" t="str">
        <x:v>已完成</x:v>
      </x:c>
      <x:c r="AE38" s="60" t="str">
        <x:v>已完成</x:v>
      </x:c>
      <x:c r="AF38" s="81" t="n">
        <x:f>COUNTIF(AA38:AE38,"已完成")/5</x:f>
        <x:v>1</x:v>
      </x:c>
      <x:c r="AG38" s="75" t="str">
        <x:f>IF(U38&lt;&gt;"","",T38-'基础参数'!$O$2)</x:f>
      </x:c>
      <x:c r="AH38" s="75" t="str">
        <x:f>IF(X38&lt;&gt;"","已完成",IF(U38&lt;&gt;"",IF(U38&gt;T38,"延迟出库","运输中"),IF(T38&lt;'基础参数'!$O$2,"已逾期",IF(T38-'基础参数'!$O$2&lt;=2,"红色预警",IF(T38-'基础参数'!$O$2&lt;=7,"黄色预警","正常")))))</x:f>
        <x:v>已完成</x:v>
      </x:c>
      <x:c r="AI38" s="27" t="str">
        <x:v>无异常</x:v>
      </x:c>
      <x:c r="AJ38" s="27" t="str">
        <x:v>-</x:v>
      </x:c>
      <x:c r="AK38" s="75" t="str">
        <x:f>IFERROR(VLOOKUP(AI38,'基础参数'!$N$5:$S$19,4,FALSE),"-")</x:f>
        <x:v>-</x:v>
      </x:c>
      <x:c r="AL38" s="33"/>
      <x:c r="AM38" s="27" t="str">
        <x:v>不适用</x:v>
      </x:c>
      <x:c r="AN38" s="27" t="str">
        <x:v>无异常</x:v>
      </x:c>
      <x:c r="AO38" s="69" t="str"/>
      <x:c r="AP38" s="69" t="str"/>
      <x:c r="AQ38" s="75" t="str">
        <x:f>IF(X38="","",IF(X38&lt;=W38,"是","否"))</x:f>
        <x:v>是</x:v>
      </x:c>
      <x:c r="AR38" s="75" t="str">
        <x:f>IFERROR(VLOOKUP(AI38,'基础参数'!$N$5:$S$19,2,FALSE),"无异常")</x:f>
        <x:v>无异常</x:v>
      </x:c>
    </x:row>
    <x:row r="39" ht="34" customHeight="1">
      <x:c r="A39" s="49" t="str">
        <x:v>PO-26-034</x:v>
      </x:c>
      <x:c r="B39" s="50" t="n">
        <x:v>46082</x:v>
      </x:c>
      <x:c r="C39" s="72" t="str">
        <x:v>C004</x:v>
      </x:c>
      <x:c r="D39" s="75" t="str">
        <x:f>IFERROR(VLOOKUP(C39,'基础参数'!$A$5:$E$22,2,FALSE),"")</x:f>
        <x:v>WildPeak AB</x:v>
      </x:c>
      <x:c r="E39" s="75" t="str">
        <x:f>IFERROR(VLOOKUP(C39,'基础参数'!$A$5:$E$22,3,FALSE),"")</x:f>
        <x:v>瑞典</x:v>
      </x:c>
      <x:c r="F39" s="75" t="str">
        <x:f>IFERROR(VLOOKUP(C39,'基础参数'!$A$5:$E$22,4,FALSE),"")</x:f>
        <x:v>欧洲</x:v>
      </x:c>
      <x:c r="G39" s="72" t="str">
        <x:v>SLP-120</x:v>
      </x:c>
      <x:c r="H39" s="75" t="str">
        <x:f>IFERROR(VLOOKUP(G39,'基础参数'!$G$5:$L$16,2,FALSE),"")</x:f>
        <x:v>三季木乃伊睡袋</x:v>
      </x:c>
      <x:c r="I39" s="75" t="str">
        <x:f>IFERROR(VLOOKUP(G39,'基础参数'!$G$5:$L$16,3,FALSE),"")</x:f>
        <x:v>睡袋</x:v>
      </x:c>
      <x:c r="J39" s="58" t="n">
        <x:v>2150</x:v>
      </x:c>
      <x:c r="K39" s="59" t="n">
        <x:v>31.76</x:v>
      </x:c>
      <x:c r="L39" s="60" t="str">
        <x:v>EUR</x:v>
      </x:c>
      <x:c r="M39" s="78" t="n">
        <x:f>J39*K39</x:f>
        <x:v>68284</x:v>
      </x:c>
      <x:c r="N39" s="60" t="str">
        <x:v>FOB</x:v>
      </x:c>
      <x:c r="O39" s="60" t="str">
        <x:v>国际快递</x:v>
      </x:c>
      <x:c r="P39" s="60" t="str">
        <x:v>DHL Express</x:v>
      </x:c>
      <x:c r="Q39" s="60" t="str">
        <x:v>已收款</x:v>
      </x:c>
      <x:c r="R39" s="62" t="n">
        <x:v>46111</x:v>
      </x:c>
      <x:c r="S39" s="62" t="n">
        <x:v>46111</x:v>
      </x:c>
      <x:c r="T39" s="62" t="n">
        <x:v>46115</x:v>
      </x:c>
      <x:c r="U39" s="62" t="n">
        <x:v>46115</x:v>
      </x:c>
      <x:c r="V39" s="62" t="n">
        <x:v>46116</x:v>
      </x:c>
      <x:c r="W39" s="62" t="n">
        <x:v>46121</x:v>
      </x:c>
      <x:c r="X39" s="62" t="n">
        <x:v>46121</x:v>
      </x:c>
      <x:c r="Y39" s="60" t="str">
        <x:v>已签收</x:v>
      </x:c>
      <x:c r="Z39" s="60" t="str">
        <x:v>已签收</x:v>
      </x:c>
      <x:c r="AA39" s="60" t="str">
        <x:v>已完成</x:v>
      </x:c>
      <x:c r="AB39" s="60" t="str">
        <x:v>已完成</x:v>
      </x:c>
      <x:c r="AC39" s="60" t="str">
        <x:v>已完成</x:v>
      </x:c>
      <x:c r="AD39" s="60" t="str">
        <x:v>已完成</x:v>
      </x:c>
      <x:c r="AE39" s="60" t="str">
        <x:v>已完成</x:v>
      </x:c>
      <x:c r="AF39" s="81" t="n">
        <x:f>COUNTIF(AA39:AE39,"已完成")/5</x:f>
        <x:v>1</x:v>
      </x:c>
      <x:c r="AG39" s="75" t="str">
        <x:f>IF(U39&lt;&gt;"","",T39-'基础参数'!$O$2)</x:f>
      </x:c>
      <x:c r="AH39" s="75" t="str">
        <x:f>IF(X39&lt;&gt;"","已完成",IF(U39&lt;&gt;"",IF(U39&gt;T39,"延迟出库","运输中"),IF(T39&lt;'基础参数'!$O$2,"已逾期",IF(T39-'基础参数'!$O$2&lt;=2,"红色预警",IF(T39-'基础参数'!$O$2&lt;=7,"黄色预警","正常")))))</x:f>
        <x:v>已完成</x:v>
      </x:c>
      <x:c r="AI39" s="27" t="str">
        <x:v>无异常</x:v>
      </x:c>
      <x:c r="AJ39" s="27" t="str">
        <x:v>-</x:v>
      </x:c>
      <x:c r="AK39" s="75" t="str">
        <x:f>IFERROR(VLOOKUP(AI39,'基础参数'!$N$5:$S$19,4,FALSE),"-")</x:f>
        <x:v>-</x:v>
      </x:c>
      <x:c r="AL39" s="33"/>
      <x:c r="AM39" s="27" t="str">
        <x:v>不适用</x:v>
      </x:c>
      <x:c r="AN39" s="27" t="str">
        <x:v>无异常</x:v>
      </x:c>
      <x:c r="AO39" s="69" t="str"/>
      <x:c r="AP39" s="69" t="str"/>
      <x:c r="AQ39" s="75" t="str">
        <x:f>IF(X39="","",IF(X39&lt;=W39,"是","否"))</x:f>
        <x:v>是</x:v>
      </x:c>
      <x:c r="AR39" s="75" t="str">
        <x:f>IFERROR(VLOOKUP(AI39,'基础参数'!$N$5:$S$19,2,FALSE),"无异常")</x:f>
        <x:v>无异常</x:v>
      </x:c>
    </x:row>
    <x:row r="40" ht="34" customHeight="1">
      <x:c r="A40" s="49" t="str">
        <x:v>PO-26-035</x:v>
      </x:c>
      <x:c r="B40" s="50" t="n">
        <x:v>46084</x:v>
      </x:c>
      <x:c r="C40" s="72" t="str">
        <x:v>C013</x:v>
      </x:c>
      <x:c r="D40" s="75" t="str">
        <x:f>IFERROR(VLOOKUP(C40,'基础参数'!$A$5:$E$22,2,FALSE),"")</x:f>
        <x:v>Coast &amp; Camp Pty</x:v>
      </x:c>
      <x:c r="E40" s="75" t="str">
        <x:f>IFERROR(VLOOKUP(C40,'基础参数'!$A$5:$E$22,3,FALSE),"")</x:f>
        <x:v>澳大利亚</x:v>
      </x:c>
      <x:c r="F40" s="75" t="str">
        <x:f>IFERROR(VLOOKUP(C40,'基础参数'!$A$5:$E$22,4,FALSE),"")</x:f>
        <x:v>澳洲</x:v>
      </x:c>
      <x:c r="G40" s="72" t="str">
        <x:v>CKT-150</x:v>
      </x:c>
      <x:c r="H40" s="75" t="str">
        <x:f>IFERROR(VLOOKUP(G40,'基础参数'!$G$5:$L$16,2,FALSE),"")</x:f>
        <x:v>不锈钢炊具套装</x:v>
      </x:c>
      <x:c r="I40" s="75" t="str">
        <x:f>IFERROR(VLOOKUP(G40,'基础参数'!$G$5:$L$16,3,FALSE),"")</x:f>
        <x:v>户外炊具</x:v>
      </x:c>
      <x:c r="J40" s="58" t="n">
        <x:v>650</x:v>
      </x:c>
      <x:c r="K40" s="59" t="n">
        <x:v>27.72</x:v>
      </x:c>
      <x:c r="L40" s="60" t="str">
        <x:v>USD</x:v>
      </x:c>
      <x:c r="M40" s="78" t="n">
        <x:f>J40*K40</x:f>
        <x:v>18018</x:v>
      </x:c>
      <x:c r="N40" s="60" t="str">
        <x:v>CIF</x:v>
      </x:c>
      <x:c r="O40" s="60" t="str">
        <x:v>空运</x:v>
      </x:c>
      <x:c r="P40" s="60" t="str">
        <x:v>DHL Global Forwarding</x:v>
      </x:c>
      <x:c r="Q40" s="60" t="str">
        <x:v>已收款</x:v>
      </x:c>
      <x:c r="R40" s="62" t="n">
        <x:v>46110</x:v>
      </x:c>
      <x:c r="S40" s="62" t="n">
        <x:v>46111</x:v>
      </x:c>
      <x:c r="T40" s="62" t="n">
        <x:v>46114</x:v>
      </x:c>
      <x:c r="U40" s="62" t="n">
        <x:v>46114</x:v>
      </x:c>
      <x:c r="V40" s="62" t="n">
        <x:v>46115</x:v>
      </x:c>
      <x:c r="W40" s="62" t="n">
        <x:v>46123</x:v>
      </x:c>
      <x:c r="X40" s="62" t="n">
        <x:v>46121</x:v>
      </x:c>
      <x:c r="Y40" s="60" t="str">
        <x:v>已签收</x:v>
      </x:c>
      <x:c r="Z40" s="60" t="str">
        <x:v>已签收</x:v>
      </x:c>
      <x:c r="AA40" s="60" t="str">
        <x:v>已完成</x:v>
      </x:c>
      <x:c r="AB40" s="60" t="str">
        <x:v>已完成</x:v>
      </x:c>
      <x:c r="AC40" s="60" t="str">
        <x:v>已完成</x:v>
      </x:c>
      <x:c r="AD40" s="60" t="str">
        <x:v>已完成</x:v>
      </x:c>
      <x:c r="AE40" s="60" t="str">
        <x:v>已完成</x:v>
      </x:c>
      <x:c r="AF40" s="81" t="n">
        <x:f>COUNTIF(AA40:AE40,"已完成")/5</x:f>
        <x:v>1</x:v>
      </x:c>
      <x:c r="AG40" s="75" t="str">
        <x:f>IF(U40&lt;&gt;"","",T40-'基础参数'!$O$2)</x:f>
      </x:c>
      <x:c r="AH40" s="75" t="str">
        <x:f>IF(X40&lt;&gt;"","已完成",IF(U40&lt;&gt;"",IF(U40&gt;T40,"延迟出库","运输中"),IF(T40&lt;'基础参数'!$O$2,"已逾期",IF(T40-'基础参数'!$O$2&lt;=2,"红色预警",IF(T40-'基础参数'!$O$2&lt;=7,"黄色预警","正常")))))</x:f>
        <x:v>已完成</x:v>
      </x:c>
      <x:c r="AI40" s="27" t="str">
        <x:v>无异常</x:v>
      </x:c>
      <x:c r="AJ40" s="27" t="str">
        <x:v>-</x:v>
      </x:c>
      <x:c r="AK40" s="75" t="str">
        <x:f>IFERROR(VLOOKUP(AI40,'基础参数'!$N$5:$S$19,4,FALSE),"-")</x:f>
        <x:v>-</x:v>
      </x:c>
      <x:c r="AL40" s="33"/>
      <x:c r="AM40" s="27" t="str">
        <x:v>不适用</x:v>
      </x:c>
      <x:c r="AN40" s="27" t="str">
        <x:v>无异常</x:v>
      </x:c>
      <x:c r="AO40" s="69" t="str"/>
      <x:c r="AP40" s="69" t="str"/>
      <x:c r="AQ40" s="75" t="str">
        <x:f>IF(X40="","",IF(X40&lt;=W40,"是","否"))</x:f>
        <x:v>是</x:v>
      </x:c>
      <x:c r="AR40" s="75" t="str">
        <x:f>IFERROR(VLOOKUP(AI40,'基础参数'!$N$5:$S$19,2,FALSE),"无异常")</x:f>
        <x:v>无异常</x:v>
      </x:c>
    </x:row>
    <x:row r="41" ht="34" customHeight="1">
      <x:c r="A41" s="49" t="str">
        <x:v>PO-26-036</x:v>
      </x:c>
      <x:c r="B41" s="50" t="n">
        <x:v>46086</x:v>
      </x:c>
      <x:c r="C41" s="72" t="str">
        <x:v>C015</x:v>
      </x:c>
      <x:c r="D41" s="75" t="str">
        <x:f>IFERROR(VLOOKUP(C41,'基础参数'!$A$5:$E$22,2,FALSE),"")</x:f>
        <x:v>Desert Moon Trading</x:v>
      </x:c>
      <x:c r="E41" s="75" t="str">
        <x:f>IFERROR(VLOOKUP(C41,'基础参数'!$A$5:$E$22,3,FALSE),"")</x:f>
        <x:v>阿联酋</x:v>
      </x:c>
      <x:c r="F41" s="75" t="str">
        <x:f>IFERROR(VLOOKUP(C41,'基础参数'!$A$5:$E$22,4,FALSE),"")</x:f>
        <x:v>中东</x:v>
      </x:c>
      <x:c r="G41" s="72" t="str">
        <x:v>SLP-210</x:v>
      </x:c>
      <x:c r="H41" s="75" t="str">
        <x:f>IFERROR(VLOOKUP(G41,'基础参数'!$G$5:$L$16,2,FALSE),"")</x:f>
        <x:v>双人保暖睡袋</x:v>
      </x:c>
      <x:c r="I41" s="75" t="str">
        <x:f>IFERROR(VLOOKUP(G41,'基础参数'!$G$5:$L$16,3,FALSE),"")</x:f>
        <x:v>睡袋</x:v>
      </x:c>
      <x:c r="J41" s="58" t="n">
        <x:v>1050</x:v>
      </x:c>
      <x:c r="K41" s="59" t="n">
        <x:v>56.7</x:v>
      </x:c>
      <x:c r="L41" s="60" t="str">
        <x:v>USD</x:v>
      </x:c>
      <x:c r="M41" s="78" t="n">
        <x:f>J41*K41</x:f>
        <x:v>59535</x:v>
      </x:c>
      <x:c r="N41" s="60" t="str">
        <x:v>FOB</x:v>
      </x:c>
      <x:c r="O41" s="60" t="str">
        <x:v>海运</x:v>
      </x:c>
      <x:c r="P41" s="60" t="str">
        <x:v>Maersk</x:v>
      </x:c>
      <x:c r="Q41" s="60" t="str">
        <x:v>已收款</x:v>
      </x:c>
      <x:c r="R41" s="62" t="n">
        <x:v>46119</x:v>
      </x:c>
      <x:c r="S41" s="62" t="n">
        <x:v>46120</x:v>
      </x:c>
      <x:c r="T41" s="62" t="n">
        <x:v>46123</x:v>
      </x:c>
      <x:c r="U41" s="62" t="n">
        <x:v>46123</x:v>
      </x:c>
      <x:c r="V41" s="62" t="n">
        <x:v>46124</x:v>
      </x:c>
      <x:c r="W41" s="62" t="n">
        <x:v>46156</x:v>
      </x:c>
      <x:c r="X41" s="62" t="n">
        <x:v>46155</x:v>
      </x:c>
      <x:c r="Y41" s="60" t="str">
        <x:v>已签收</x:v>
      </x:c>
      <x:c r="Z41" s="60" t="str">
        <x:v>已签收</x:v>
      </x:c>
      <x:c r="AA41" s="60" t="str">
        <x:v>已完成</x:v>
      </x:c>
      <x:c r="AB41" s="60" t="str">
        <x:v>已完成</x:v>
      </x:c>
      <x:c r="AC41" s="60" t="str">
        <x:v>已完成</x:v>
      </x:c>
      <x:c r="AD41" s="60" t="str">
        <x:v>已完成</x:v>
      </x:c>
      <x:c r="AE41" s="60" t="str">
        <x:v>已完成</x:v>
      </x:c>
      <x:c r="AF41" s="81" t="n">
        <x:f>COUNTIF(AA41:AE41,"已完成")/5</x:f>
        <x:v>1</x:v>
      </x:c>
      <x:c r="AG41" s="75" t="str">
        <x:f>IF(U41&lt;&gt;"","",T41-'基础参数'!$O$2)</x:f>
      </x:c>
      <x:c r="AH41" s="75" t="str">
        <x:f>IF(X41&lt;&gt;"","已完成",IF(U41&lt;&gt;"",IF(U41&gt;T41,"延迟出库","运输中"),IF(T41&lt;'基础参数'!$O$2,"已逾期",IF(T41-'基础参数'!$O$2&lt;=2,"红色预警",IF(T41-'基础参数'!$O$2&lt;=7,"黄色预警","正常")))))</x:f>
        <x:v>已完成</x:v>
      </x:c>
      <x:c r="AI41" s="27" t="str">
        <x:v>无异常</x:v>
      </x:c>
      <x:c r="AJ41" s="27" t="str">
        <x:v>-</x:v>
      </x:c>
      <x:c r="AK41" s="75" t="str">
        <x:f>IFERROR(VLOOKUP(AI41,'基础参数'!$N$5:$S$19,4,FALSE),"-")</x:f>
        <x:v>-</x:v>
      </x:c>
      <x:c r="AL41" s="33"/>
      <x:c r="AM41" s="27" t="str">
        <x:v>不适用</x:v>
      </x:c>
      <x:c r="AN41" s="27" t="str">
        <x:v>无异常</x:v>
      </x:c>
      <x:c r="AO41" s="69" t="str"/>
      <x:c r="AP41" s="69" t="str"/>
      <x:c r="AQ41" s="75" t="str">
        <x:f>IF(X41="","",IF(X41&lt;=W41,"是","否"))</x:f>
        <x:v>是</x:v>
      </x:c>
      <x:c r="AR41" s="75" t="str">
        <x:f>IFERROR(VLOOKUP(AI41,'基础参数'!$N$5:$S$19,2,FALSE),"无异常")</x:f>
        <x:v>无异常</x:v>
      </x:c>
    </x:row>
    <x:row r="42" ht="34" customHeight="1">
      <x:c r="A42" s="49" t="str">
        <x:v>PO-26-037</x:v>
      </x:c>
      <x:c r="B42" s="50" t="n">
        <x:v>46088</x:v>
      </x:c>
      <x:c r="C42" s="72" t="str">
        <x:v>C001</x:v>
      </x:c>
      <x:c r="D42" s="75" t="str">
        <x:f>IFERROR(VLOOKUP(C42,'基础参数'!$A$5:$E$22,2,FALSE),"")</x:f>
        <x:v>NordTrail GmbH</x:v>
      </x:c>
      <x:c r="E42" s="75" t="str">
        <x:f>IFERROR(VLOOKUP(C42,'基础参数'!$A$5:$E$22,3,FALSE),"")</x:f>
        <x:v>德国</x:v>
      </x:c>
      <x:c r="F42" s="75" t="str">
        <x:f>IFERROR(VLOOKUP(C42,'基础参数'!$A$5:$E$22,4,FALSE),"")</x:f>
        <x:v>欧洲</x:v>
      </x:c>
      <x:c r="G42" s="72" t="str">
        <x:v>TEN-410</x:v>
      </x:c>
      <x:c r="H42" s="75" t="str">
        <x:f>IFERROR(VLOOKUP(G42,'基础参数'!$G$5:$L$16,2,FALSE),"")</x:f>
        <x:v>四人家庭帐篷</x:v>
      </x:c>
      <x:c r="I42" s="75" t="str">
        <x:f>IFERROR(VLOOKUP(G42,'基础参数'!$G$5:$L$16,3,FALSE),"")</x:f>
        <x:v>帐篷</x:v>
      </x:c>
      <x:c r="J42" s="58" t="n">
        <x:v>900</x:v>
      </x:c>
      <x:c r="K42" s="59" t="n">
        <x:v>97.33</x:v>
      </x:c>
      <x:c r="L42" s="60" t="str">
        <x:v>EUR</x:v>
      </x:c>
      <x:c r="M42" s="78" t="n">
        <x:f>J42*K42</x:f>
        <x:v>87597</x:v>
      </x:c>
      <x:c r="N42" s="60" t="str">
        <x:v>CIF</x:v>
      </x:c>
      <x:c r="O42" s="60" t="str">
        <x:v>海运</x:v>
      </x:c>
      <x:c r="P42" s="60" t="str">
        <x:v>Maersk</x:v>
      </x:c>
      <x:c r="Q42" s="60" t="str">
        <x:v>已收款</x:v>
      </x:c>
      <x:c r="R42" s="62" t="n">
        <x:v>46126</x:v>
      </x:c>
      <x:c r="S42" s="62" t="n">
        <x:v>46127</x:v>
      </x:c>
      <x:c r="T42" s="62" t="n">
        <x:v>46130</x:v>
      </x:c>
      <x:c r="U42" s="62" t="n">
        <x:v>46141</x:v>
      </x:c>
      <x:c r="V42" s="62" t="n">
        <x:v>46142</x:v>
      </x:c>
      <x:c r="W42" s="62" t="n">
        <x:v>46174</x:v>
      </x:c>
      <x:c r="X42" s="62" t="n">
        <x:v>46173</x:v>
      </x:c>
      <x:c r="Y42" s="60" t="str">
        <x:v>已签收</x:v>
      </x:c>
      <x:c r="Z42" s="60" t="str">
        <x:v>已签收</x:v>
      </x:c>
      <x:c r="AA42" s="60" t="str">
        <x:v>已完成</x:v>
      </x:c>
      <x:c r="AB42" s="60" t="str">
        <x:v>已完成</x:v>
      </x:c>
      <x:c r="AC42" s="60" t="str">
        <x:v>已完成</x:v>
      </x:c>
      <x:c r="AD42" s="60" t="str">
        <x:v>已完成</x:v>
      </x:c>
      <x:c r="AE42" s="60" t="str">
        <x:v>已完成</x:v>
      </x:c>
      <x:c r="AF42" s="81" t="n">
        <x:f>COUNTIF(AA42:AE42,"已完成")/5</x:f>
        <x:v>1</x:v>
      </x:c>
      <x:c r="AG42" s="75" t="str">
        <x:f>IF(U42&lt;&gt;"","",T42-'基础参数'!$O$2)</x:f>
      </x:c>
      <x:c r="AH42" s="75" t="str">
        <x:f>IF(X42&lt;&gt;"","已完成",IF(U42&lt;&gt;"",IF(U42&gt;T42,"延迟出库","运输中"),IF(T42&lt;'基础参数'!$O$2,"已逾期",IF(T42-'基础参数'!$O$2&lt;=2,"红色预警",IF(T42-'基础参数'!$O$2&lt;=7,"黄色预警","正常")))))</x:f>
        <x:v>已完成</x:v>
      </x:c>
      <x:c r="AI42" s="27" t="str">
        <x:v>报关查验</x:v>
      </x:c>
      <x:c r="AJ42" s="27" t="str">
        <x:v>B级</x:v>
      </x:c>
      <x:c r="AK42" s="75" t="str">
        <x:f>IFERROR(VLOOKUP(AI42,'基础参数'!$N$5:$S$19,4,FALSE),"-")</x:f>
        <x:v>报关协调员</x:v>
      </x:c>
      <x:c r="AL42" s="33" t="n">
        <x:v>46128</x:v>
      </x:c>
      <x:c r="AM42" s="27" t="str">
        <x:v>已通知</x:v>
      </x:c>
      <x:c r="AN42" s="27" t="str">
        <x:v>已关闭</x:v>
      </x:c>
      <x:c r="AO42" s="69" t="str">
        <x:v>报关查验导致计划节点存在一般偏差</x:v>
      </x:c>
      <x:c r="AP42" s="69" t="str">
        <x:v>已完成补救并取得客户确认</x:v>
      </x:c>
      <x:c r="AQ42" s="75" t="str">
        <x:f>IF(X42="","",IF(X42&lt;=W42,"是","否"))</x:f>
        <x:v>是</x:v>
      </x:c>
      <x:c r="AR42" s="75" t="str">
        <x:f>IFERROR(VLOOKUP(AI42,'基础参数'!$N$5:$S$19,2,FALSE),"无异常")</x:f>
        <x:v>出运</x:v>
      </x:c>
    </x:row>
    <x:row r="43" ht="34" customHeight="1">
      <x:c r="A43" s="49" t="str">
        <x:v>PO-26-038</x:v>
      </x:c>
      <x:c r="B43" s="50" t="n">
        <x:v>46089</x:v>
      </x:c>
      <x:c r="C43" s="72" t="str">
        <x:v>C008</x:v>
      </x:c>
      <x:c r="D43" s="75" t="str">
        <x:f>IFERROR(VLOOKUP(C43,'基础参数'!$A$5:$E$22,2,FALSE),"")</x:f>
        <x:v>Camp Harbor LLC</x:v>
      </x:c>
      <x:c r="E43" s="75" t="str">
        <x:f>IFERROR(VLOOKUP(C43,'基础参数'!$A$5:$E$22,3,FALSE),"")</x:f>
        <x:v>美国</x:v>
      </x:c>
      <x:c r="F43" s="75" t="str">
        <x:f>IFERROR(VLOOKUP(C43,'基础参数'!$A$5:$E$22,4,FALSE),"")</x:f>
        <x:v>北美</x:v>
      </x:c>
      <x:c r="G43" s="72" t="str">
        <x:v>LGT-100</x:v>
      </x:c>
      <x:c r="H43" s="75" t="str">
        <x:f>IFERROR(VLOOKUP(G43,'基础参数'!$G$5:$L$16,2,FALSE),"")</x:f>
        <x:v>USB充电露营灯</x:v>
      </x:c>
      <x:c r="I43" s="75" t="str">
        <x:f>IFERROR(VLOOKUP(G43,'基础参数'!$G$5:$L$16,3,FALSE),"")</x:f>
        <x:v>露营照明</x:v>
      </x:c>
      <x:c r="J43" s="58" t="n">
        <x:v>900</x:v>
      </x:c>
      <x:c r="K43" s="59" t="n">
        <x:v>18.37</x:v>
      </x:c>
      <x:c r="L43" s="60" t="str">
        <x:v>USD</x:v>
      </x:c>
      <x:c r="M43" s="78" t="n">
        <x:f>J43*K43</x:f>
        <x:v>16533</x:v>
      </x:c>
      <x:c r="N43" s="60" t="str">
        <x:v>FOB</x:v>
      </x:c>
      <x:c r="O43" s="60" t="str">
        <x:v>国际快递</x:v>
      </x:c>
      <x:c r="P43" s="60" t="str">
        <x:v>DHL Express</x:v>
      </x:c>
      <x:c r="Q43" s="60" t="str">
        <x:v>已收款</x:v>
      </x:c>
      <x:c r="R43" s="62" t="n">
        <x:v>46111</x:v>
      </x:c>
      <x:c r="S43" s="62" t="n">
        <x:v>46112</x:v>
      </x:c>
      <x:c r="T43" s="62" t="n">
        <x:v>46115</x:v>
      </x:c>
      <x:c r="U43" s="62" t="n">
        <x:v>46115</x:v>
      </x:c>
      <x:c r="V43" s="62" t="n">
        <x:v>46116</x:v>
      </x:c>
      <x:c r="W43" s="62" t="n">
        <x:v>46121</x:v>
      </x:c>
      <x:c r="X43" s="62" t="n">
        <x:v>46121</x:v>
      </x:c>
      <x:c r="Y43" s="60" t="str">
        <x:v>已签收</x:v>
      </x:c>
      <x:c r="Z43" s="60" t="str">
        <x:v>已签收</x:v>
      </x:c>
      <x:c r="AA43" s="60" t="str">
        <x:v>已完成</x:v>
      </x:c>
      <x:c r="AB43" s="60" t="str">
        <x:v>已完成</x:v>
      </x:c>
      <x:c r="AC43" s="60" t="str">
        <x:v>已完成</x:v>
      </x:c>
      <x:c r="AD43" s="60" t="str">
        <x:v>已完成</x:v>
      </x:c>
      <x:c r="AE43" s="60" t="str">
        <x:v>已完成</x:v>
      </x:c>
      <x:c r="AF43" s="81" t="n">
        <x:f>COUNTIF(AA43:AE43,"已完成")/5</x:f>
        <x:v>1</x:v>
      </x:c>
      <x:c r="AG43" s="75" t="str">
        <x:f>IF(U43&lt;&gt;"","",T43-'基础参数'!$O$2)</x:f>
      </x:c>
      <x:c r="AH43" s="75" t="str">
        <x:f>IF(X43&lt;&gt;"","已完成",IF(U43&lt;&gt;"",IF(U43&gt;T43,"延迟出库","运输中"),IF(T43&lt;'基础参数'!$O$2,"已逾期",IF(T43-'基础参数'!$O$2&lt;=2,"红色预警",IF(T43-'基础参数'!$O$2&lt;=7,"黄色预警","正常")))))</x:f>
        <x:v>已完成</x:v>
      </x:c>
      <x:c r="AI43" s="27" t="str">
        <x:v>无异常</x:v>
      </x:c>
      <x:c r="AJ43" s="27" t="str">
        <x:v>-</x:v>
      </x:c>
      <x:c r="AK43" s="75" t="str">
        <x:f>IFERROR(VLOOKUP(AI43,'基础参数'!$N$5:$S$19,4,FALSE),"-")</x:f>
        <x:v>-</x:v>
      </x:c>
      <x:c r="AL43" s="33"/>
      <x:c r="AM43" s="27" t="str">
        <x:v>不适用</x:v>
      </x:c>
      <x:c r="AN43" s="27" t="str">
        <x:v>无异常</x:v>
      </x:c>
      <x:c r="AO43" s="69" t="str"/>
      <x:c r="AP43" s="69" t="str"/>
      <x:c r="AQ43" s="75" t="str">
        <x:f>IF(X43="","",IF(X43&lt;=W43,"是","否"))</x:f>
        <x:v>是</x:v>
      </x:c>
      <x:c r="AR43" s="75" t="str">
        <x:f>IFERROR(VLOOKUP(AI43,'基础参数'!$N$5:$S$19,2,FALSE),"无异常")</x:f>
        <x:v>无异常</x:v>
      </x:c>
    </x:row>
    <x:row r="44" ht="34" customHeight="1">
      <x:c r="A44" s="49" t="str">
        <x:v>PO-26-039</x:v>
      </x:c>
      <x:c r="B44" s="50" t="n">
        <x:v>46091</x:v>
      </x:c>
      <x:c r="C44" s="72" t="str">
        <x:v>C014</x:v>
      </x:c>
      <x:c r="D44" s="75" t="str">
        <x:f>IFERROR(VLOOKUP(C44,'基础参数'!$A$5:$E$22,2,FALSE),"")</x:f>
        <x:v>Kiwi Trek Ltd.</x:v>
      </x:c>
      <x:c r="E44" s="75" t="str">
        <x:f>IFERROR(VLOOKUP(C44,'基础参数'!$A$5:$E$22,3,FALSE),"")</x:f>
        <x:v>新西兰</x:v>
      </x:c>
      <x:c r="F44" s="75" t="str">
        <x:f>IFERROR(VLOOKUP(C44,'基础参数'!$A$5:$E$22,4,FALSE),"")</x:f>
        <x:v>澳洲</x:v>
      </x:c>
      <x:c r="G44" s="72" t="str">
        <x:v>SLP-210</x:v>
      </x:c>
      <x:c r="H44" s="75" t="str">
        <x:f>IFERROR(VLOOKUP(G44,'基础参数'!$G$5:$L$16,2,FALSE),"")</x:f>
        <x:v>双人保暖睡袋</x:v>
      </x:c>
      <x:c r="I44" s="75" t="str">
        <x:f>IFERROR(VLOOKUP(G44,'基础参数'!$G$5:$L$16,3,FALSE),"")</x:f>
        <x:v>睡袋</x:v>
      </x:c>
      <x:c r="J44" s="58" t="n">
        <x:v>1800</x:v>
      </x:c>
      <x:c r="K44" s="59" t="n">
        <x:v>57.8</x:v>
      </x:c>
      <x:c r="L44" s="60" t="str">
        <x:v>USD</x:v>
      </x:c>
      <x:c r="M44" s="78" t="n">
        <x:f>J44*K44</x:f>
        <x:v>104040</x:v>
      </x:c>
      <x:c r="N44" s="60" t="str">
        <x:v>FOB</x:v>
      </x:c>
      <x:c r="O44" s="60" t="str">
        <x:v>海运</x:v>
      </x:c>
      <x:c r="P44" s="60" t="str">
        <x:v>COSCO</x:v>
      </x:c>
      <x:c r="Q44" s="60" t="str">
        <x:v>已收款</x:v>
      </x:c>
      <x:c r="R44" s="62" t="n">
        <x:v>46124</x:v>
      </x:c>
      <x:c r="S44" s="62" t="n">
        <x:v>46124</x:v>
      </x:c>
      <x:c r="T44" s="62" t="n">
        <x:v>46128</x:v>
      </x:c>
      <x:c r="U44" s="62" t="n">
        <x:v>46127</x:v>
      </x:c>
      <x:c r="V44" s="62" t="n">
        <x:v>46128</x:v>
      </x:c>
      <x:c r="W44" s="62" t="n">
        <x:v>46160</x:v>
      </x:c>
      <x:c r="X44" s="62" t="n">
        <x:v>46161</x:v>
      </x:c>
      <x:c r="Y44" s="60" t="str">
        <x:v>已签收</x:v>
      </x:c>
      <x:c r="Z44" s="60" t="str">
        <x:v>已签收</x:v>
      </x:c>
      <x:c r="AA44" s="60" t="str">
        <x:v>已完成</x:v>
      </x:c>
      <x:c r="AB44" s="60" t="str">
        <x:v>已完成</x:v>
      </x:c>
      <x:c r="AC44" s="60" t="str">
        <x:v>已完成</x:v>
      </x:c>
      <x:c r="AD44" s="60" t="str">
        <x:v>已完成</x:v>
      </x:c>
      <x:c r="AE44" s="60" t="str">
        <x:v>已完成</x:v>
      </x:c>
      <x:c r="AF44" s="81" t="n">
        <x:f>COUNTIF(AA44:AE44,"已完成")/5</x:f>
        <x:v>1</x:v>
      </x:c>
      <x:c r="AG44" s="75" t="str">
        <x:f>IF(U44&lt;&gt;"","",T44-'基础参数'!$O$2)</x:f>
      </x:c>
      <x:c r="AH44" s="75" t="str">
        <x:f>IF(X44&lt;&gt;"","已完成",IF(U44&lt;&gt;"",IF(U44&gt;T44,"延迟出库","运输中"),IF(T44&lt;'基础参数'!$O$2,"已逾期",IF(T44-'基础参数'!$O$2&lt;=2,"红色预警",IF(T44-'基础参数'!$O$2&lt;=7,"黄色预警","正常")))))</x:f>
        <x:v>已完成</x:v>
      </x:c>
      <x:c r="AI44" s="27" t="str">
        <x:v>无异常</x:v>
      </x:c>
      <x:c r="AJ44" s="27" t="str">
        <x:v>-</x:v>
      </x:c>
      <x:c r="AK44" s="75" t="str">
        <x:f>IFERROR(VLOOKUP(AI44,'基础参数'!$N$5:$S$19,4,FALSE),"-")</x:f>
        <x:v>-</x:v>
      </x:c>
      <x:c r="AL44" s="33"/>
      <x:c r="AM44" s="27" t="str">
        <x:v>不适用</x:v>
      </x:c>
      <x:c r="AN44" s="27" t="str">
        <x:v>无异常</x:v>
      </x:c>
      <x:c r="AO44" s="69" t="str"/>
      <x:c r="AP44" s="69" t="str"/>
      <x:c r="AQ44" s="75" t="str">
        <x:f>IF(X44="","",IF(X44&lt;=W44,"是","否"))</x:f>
        <x:v>否</x:v>
      </x:c>
      <x:c r="AR44" s="75" t="str">
        <x:f>IFERROR(VLOOKUP(AI44,'基础参数'!$N$5:$S$19,2,FALSE),"无异常")</x:f>
        <x:v>无异常</x:v>
      </x:c>
    </x:row>
    <x:row r="45" ht="34" customHeight="1">
      <x:c r="A45" s="49" t="str">
        <x:v>PO-26-040</x:v>
      </x:c>
      <x:c r="B45" s="50" t="n">
        <x:v>46093</x:v>
      </x:c>
      <x:c r="C45" s="72" t="str">
        <x:v>C002</x:v>
      </x:c>
      <x:c r="D45" s="75" t="str">
        <x:f>IFERROR(VLOOKUP(C45,'基础参数'!$A$5:$E$22,2,FALSE),"")</x:f>
        <x:v>Alpine Base SAS</x:v>
      </x:c>
      <x:c r="E45" s="75" t="str">
        <x:f>IFERROR(VLOOKUP(C45,'基础参数'!$A$5:$E$22,3,FALSE),"")</x:f>
        <x:v>法国</x:v>
      </x:c>
      <x:c r="F45" s="75" t="str">
        <x:f>IFERROR(VLOOKUP(C45,'基础参数'!$A$5:$E$22,4,FALSE),"")</x:f>
        <x:v>欧洲</x:v>
      </x:c>
      <x:c r="G45" s="72" t="str">
        <x:v>STV-260</x:v>
      </x:c>
      <x:c r="H45" s="75" t="str">
        <x:f>IFERROR(VLOOKUP(G45,'基础参数'!$G$5:$L$16,2,FALSE),"")</x:f>
        <x:v>便携卡式炉</x:v>
      </x:c>
      <x:c r="I45" s="75" t="str">
        <x:f>IFERROR(VLOOKUP(G45,'基础参数'!$G$5:$L$16,3,FALSE),"")</x:f>
        <x:v>户外炊具</x:v>
      </x:c>
      <x:c r="J45" s="58" t="n">
        <x:v>1000</x:v>
      </x:c>
      <x:c r="K45" s="59" t="n">
        <x:v>34.88</x:v>
      </x:c>
      <x:c r="L45" s="60" t="str">
        <x:v>EUR</x:v>
      </x:c>
      <x:c r="M45" s="78" t="n">
        <x:f>J45*K45</x:f>
        <x:v>34880</x:v>
      </x:c>
      <x:c r="N45" s="60" t="str">
        <x:v>CIF</x:v>
      </x:c>
      <x:c r="O45" s="60" t="str">
        <x:v>海运</x:v>
      </x:c>
      <x:c r="P45" s="60" t="str">
        <x:v>COSCO</x:v>
      </x:c>
      <x:c r="Q45" s="60" t="str">
        <x:v>已收款</x:v>
      </x:c>
      <x:c r="R45" s="62" t="n">
        <x:v>46123</x:v>
      </x:c>
      <x:c r="S45" s="62" t="n">
        <x:v>46123</x:v>
      </x:c>
      <x:c r="T45" s="62" t="n">
        <x:v>46127</x:v>
      </x:c>
      <x:c r="U45" s="62" t="n">
        <x:v>46127</x:v>
      </x:c>
      <x:c r="V45" s="62" t="n">
        <x:v>46128</x:v>
      </x:c>
      <x:c r="W45" s="62" t="n">
        <x:v>46160</x:v>
      </x:c>
      <x:c r="X45" s="62" t="n">
        <x:v>46160</x:v>
      </x:c>
      <x:c r="Y45" s="60" t="str">
        <x:v>已签收</x:v>
      </x:c>
      <x:c r="Z45" s="60" t="str">
        <x:v>已签收</x:v>
      </x:c>
      <x:c r="AA45" s="60" t="str">
        <x:v>已完成</x:v>
      </x:c>
      <x:c r="AB45" s="60" t="str">
        <x:v>已完成</x:v>
      </x:c>
      <x:c r="AC45" s="60" t="str">
        <x:v>已完成</x:v>
      </x:c>
      <x:c r="AD45" s="60" t="str">
        <x:v>已完成</x:v>
      </x:c>
      <x:c r="AE45" s="60" t="str">
        <x:v>已完成</x:v>
      </x:c>
      <x:c r="AF45" s="81" t="n">
        <x:f>COUNTIF(AA45:AE45,"已完成")/5</x:f>
        <x:v>1</x:v>
      </x:c>
      <x:c r="AG45" s="75" t="str">
        <x:f>IF(U45&lt;&gt;"","",T45-'基础参数'!$O$2)</x:f>
      </x:c>
      <x:c r="AH45" s="75" t="str">
        <x:f>IF(X45&lt;&gt;"","已完成",IF(U45&lt;&gt;"",IF(U45&gt;T45,"延迟出库","运输中"),IF(T45&lt;'基础参数'!$O$2,"已逾期",IF(T45-'基础参数'!$O$2&lt;=2,"红色预警",IF(T45-'基础参数'!$O$2&lt;=7,"黄色预警","正常")))))</x:f>
        <x:v>已完成</x:v>
      </x:c>
      <x:c r="AI45" s="27" t="str">
        <x:v>无异常</x:v>
      </x:c>
      <x:c r="AJ45" s="27" t="str">
        <x:v>-</x:v>
      </x:c>
      <x:c r="AK45" s="75" t="str">
        <x:f>IFERROR(VLOOKUP(AI45,'基础参数'!$N$5:$S$19,4,FALSE),"-")</x:f>
        <x:v>-</x:v>
      </x:c>
      <x:c r="AL45" s="33"/>
      <x:c r="AM45" s="27" t="str">
        <x:v>不适用</x:v>
      </x:c>
      <x:c r="AN45" s="27" t="str">
        <x:v>无异常</x:v>
      </x:c>
      <x:c r="AO45" s="69" t="str"/>
      <x:c r="AP45" s="69" t="str"/>
      <x:c r="AQ45" s="75" t="str">
        <x:f>IF(X45="","",IF(X45&lt;=W45,"是","否"))</x:f>
        <x:v>是</x:v>
      </x:c>
      <x:c r="AR45" s="75" t="str">
        <x:f>IFERROR(VLOOKUP(AI45,'基础参数'!$N$5:$S$19,2,FALSE),"无异常")</x:f>
        <x:v>无异常</x:v>
      </x:c>
    </x:row>
    <x:row r="46" ht="34" customHeight="1">
      <x:c r="A46" s="49" t="str">
        <x:v>PO-26-041</x:v>
      </x:c>
      <x:c r="B46" s="50" t="n">
        <x:v>46095</x:v>
      </x:c>
      <x:c r="C46" s="72" t="str">
        <x:v>C003</x:v>
      </x:c>
      <x:c r="D46" s="75" t="str">
        <x:f>IFERROR(VLOOKUP(C46,'基础参数'!$A$5:$E$22,2,FALSE),"")</x:f>
        <x:v>CampVista BV</x:v>
      </x:c>
      <x:c r="E46" s="75" t="str">
        <x:f>IFERROR(VLOOKUP(C46,'基础参数'!$A$5:$E$22,3,FALSE),"")</x:f>
        <x:v>荷兰</x:v>
      </x:c>
      <x:c r="F46" s="75" t="str">
        <x:f>IFERROR(VLOOKUP(C46,'基础参数'!$A$5:$E$22,4,FALSE),"")</x:f>
        <x:v>欧洲</x:v>
      </x:c>
      <x:c r="G46" s="72" t="str">
        <x:v>MAT-230</x:v>
      </x:c>
      <x:c r="H46" s="75" t="str">
        <x:f>IFERROR(VLOOKUP(G46,'基础参数'!$G$5:$L$16,2,FALSE),"")</x:f>
        <x:v>自充气露营垫</x:v>
      </x:c>
      <x:c r="I46" s="75" t="str">
        <x:f>IFERROR(VLOOKUP(G46,'基础参数'!$G$5:$L$16,3,FALSE),"")</x:f>
        <x:v>野餐垫</x:v>
      </x:c>
      <x:c r="J46" s="58" t="n">
        <x:v>1000</x:v>
      </x:c>
      <x:c r="K46" s="59" t="n">
        <x:v>38.18</x:v>
      </x:c>
      <x:c r="L46" s="60" t="str">
        <x:v>EUR</x:v>
      </x:c>
      <x:c r="M46" s="78" t="n">
        <x:f>J46*K46</x:f>
        <x:v>38180</x:v>
      </x:c>
      <x:c r="N46" s="60" t="str">
        <x:v>DDP</x:v>
      </x:c>
      <x:c r="O46" s="60" t="str">
        <x:v>海运</x:v>
      </x:c>
      <x:c r="P46" s="60" t="str">
        <x:v>Maersk</x:v>
      </x:c>
      <x:c r="Q46" s="60" t="str">
        <x:v>已收款</x:v>
      </x:c>
      <x:c r="R46" s="62" t="n">
        <x:v>46120</x:v>
      </x:c>
      <x:c r="S46" s="62" t="n">
        <x:v>46120</x:v>
      </x:c>
      <x:c r="T46" s="62" t="n">
        <x:v>46124</x:v>
      </x:c>
      <x:c r="U46" s="62" t="n">
        <x:v>46124</x:v>
      </x:c>
      <x:c r="V46" s="62" t="n">
        <x:v>46125</x:v>
      </x:c>
      <x:c r="W46" s="62" t="n">
        <x:v>46166</x:v>
      </x:c>
      <x:c r="X46" s="62" t="n">
        <x:v>46174</x:v>
      </x:c>
      <x:c r="Y46" s="60" t="str">
        <x:v>已签收</x:v>
      </x:c>
      <x:c r="Z46" s="60" t="str">
        <x:v>已签收</x:v>
      </x:c>
      <x:c r="AA46" s="60" t="str">
        <x:v>已完成</x:v>
      </x:c>
      <x:c r="AB46" s="60" t="str">
        <x:v>已完成</x:v>
      </x:c>
      <x:c r="AC46" s="60" t="str">
        <x:v>已完成</x:v>
      </x:c>
      <x:c r="AD46" s="60" t="str">
        <x:v>已完成</x:v>
      </x:c>
      <x:c r="AE46" s="60" t="str">
        <x:v>已完成</x:v>
      </x:c>
      <x:c r="AF46" s="81" t="n">
        <x:f>COUNTIF(AA46:AE46,"已完成")/5</x:f>
        <x:v>1</x:v>
      </x:c>
      <x:c r="AG46" s="75" t="str">
        <x:f>IF(U46&lt;&gt;"","",T46-'基础参数'!$O$2)</x:f>
      </x:c>
      <x:c r="AH46" s="75" t="str">
        <x:f>IF(X46&lt;&gt;"","已完成",IF(U46&lt;&gt;"",IF(U46&gt;T46,"延迟出库","运输中"),IF(T46&lt;'基础参数'!$O$2,"已逾期",IF(T46-'基础参数'!$O$2&lt;=2,"红色预警",IF(T46-'基础参数'!$O$2&lt;=7,"黄色预警","正常")))))</x:f>
        <x:v>已完成</x:v>
      </x:c>
      <x:c r="AI46" s="27" t="str">
        <x:v>港口拥堵</x:v>
      </x:c>
      <x:c r="AJ46" s="27" t="str">
        <x:v>B级</x:v>
      </x:c>
      <x:c r="AK46" s="75" t="str">
        <x:f>IFERROR(VLOOKUP(AI46,'基础参数'!$N$5:$S$19,4,FALSE),"-")</x:f>
        <x:v>物流主管</x:v>
      </x:c>
      <x:c r="AL46" s="33" t="n">
        <x:v>46122</x:v>
      </x:c>
      <x:c r="AM46" s="27" t="str">
        <x:v>已通知</x:v>
      </x:c>
      <x:c r="AN46" s="27" t="str">
        <x:v>已关闭</x:v>
      </x:c>
      <x:c r="AO46" s="69" t="str">
        <x:v>港口拥堵导致计划节点存在一般偏差</x:v>
      </x:c>
      <x:c r="AP46" s="69" t="str">
        <x:v>已完成补救并取得客户确认</x:v>
      </x:c>
      <x:c r="AQ46" s="75" t="str">
        <x:f>IF(X46="","",IF(X46&lt;=W46,"是","否"))</x:f>
        <x:v>否</x:v>
      </x:c>
      <x:c r="AR46" s="75" t="str">
        <x:f>IFERROR(VLOOKUP(AI46,'基础参数'!$N$5:$S$19,2,FALSE),"无异常")</x:f>
        <x:v>在途物流</x:v>
      </x:c>
    </x:row>
    <x:row r="47" ht="34" customHeight="1">
      <x:c r="A47" s="49" t="str">
        <x:v>PO-26-042</x:v>
      </x:c>
      <x:c r="B47" s="50" t="n">
        <x:v>46096</x:v>
      </x:c>
      <x:c r="C47" s="72" t="str">
        <x:v>C012</x:v>
      </x:c>
      <x:c r="D47" s="75" t="str">
        <x:f>IFERROR(VLOOKUP(C47,'基础参数'!$A$5:$E$22,2,FALSE),"")</x:f>
        <x:v>Outback Living Pty</x:v>
      </x:c>
      <x:c r="E47" s="75" t="str">
        <x:f>IFERROR(VLOOKUP(C47,'基础参数'!$A$5:$E$22,3,FALSE),"")</x:f>
        <x:v>澳大利亚</x:v>
      </x:c>
      <x:c r="F47" s="75" t="str">
        <x:f>IFERROR(VLOOKUP(C47,'基础参数'!$A$5:$E$22,4,FALSE),"")</x:f>
        <x:v>澳洲</x:v>
      </x:c>
      <x:c r="G47" s="72" t="str">
        <x:v>CHR-110</x:v>
      </x:c>
      <x:c r="H47" s="75" t="str">
        <x:f>IFERROR(VLOOKUP(G47,'基础参数'!$G$5:$L$16,2,FALSE),"")</x:f>
        <x:v>铝合金折叠椅</x:v>
      </x:c>
      <x:c r="I47" s="75" t="str">
        <x:f>IFERROR(VLOOKUP(G47,'基础参数'!$G$5:$L$16,3,FALSE),"")</x:f>
        <x:v>折叠家具</x:v>
      </x:c>
      <x:c r="J47" s="58" t="n">
        <x:v>1800</x:v>
      </x:c>
      <x:c r="K47" s="59" t="n">
        <x:v>22.74</x:v>
      </x:c>
      <x:c r="L47" s="60" t="str">
        <x:v>USD</x:v>
      </x:c>
      <x:c r="M47" s="78" t="n">
        <x:f>J47*K47</x:f>
        <x:v>40932</x:v>
      </x:c>
      <x:c r="N47" s="60" t="str">
        <x:v>FOB</x:v>
      </x:c>
      <x:c r="O47" s="60" t="str">
        <x:v>海运</x:v>
      </x:c>
      <x:c r="P47" s="60" t="str">
        <x:v>ONE</x:v>
      </x:c>
      <x:c r="Q47" s="60" t="str">
        <x:v>已收款</x:v>
      </x:c>
      <x:c r="R47" s="62" t="n">
        <x:v>46120</x:v>
      </x:c>
      <x:c r="S47" s="62" t="n">
        <x:v>46121</x:v>
      </x:c>
      <x:c r="T47" s="62" t="n">
        <x:v>46124</x:v>
      </x:c>
      <x:c r="U47" s="62" t="n">
        <x:v>46125</x:v>
      </x:c>
      <x:c r="V47" s="62" t="n">
        <x:v>46126</x:v>
      </x:c>
      <x:c r="W47" s="62" t="n">
        <x:v>46158</x:v>
      </x:c>
      <x:c r="X47" s="62" t="n">
        <x:v>46158</x:v>
      </x:c>
      <x:c r="Y47" s="60" t="str">
        <x:v>已签收</x:v>
      </x:c>
      <x:c r="Z47" s="60" t="str">
        <x:v>已签收</x:v>
      </x:c>
      <x:c r="AA47" s="60" t="str">
        <x:v>已完成</x:v>
      </x:c>
      <x:c r="AB47" s="60" t="str">
        <x:v>已完成</x:v>
      </x:c>
      <x:c r="AC47" s="60" t="str">
        <x:v>已完成</x:v>
      </x:c>
      <x:c r="AD47" s="60" t="str">
        <x:v>已完成</x:v>
      </x:c>
      <x:c r="AE47" s="60" t="str">
        <x:v>已完成</x:v>
      </x:c>
      <x:c r="AF47" s="81" t="n">
        <x:f>COUNTIF(AA47:AE47,"已完成")/5</x:f>
        <x:v>1</x:v>
      </x:c>
      <x:c r="AG47" s="75" t="str">
        <x:f>IF(U47&lt;&gt;"","",T47-'基础参数'!$O$2)</x:f>
      </x:c>
      <x:c r="AH47" s="75" t="str">
        <x:f>IF(X47&lt;&gt;"","已完成",IF(U47&lt;&gt;"",IF(U47&gt;T47,"延迟出库","运输中"),IF(T47&lt;'基础参数'!$O$2,"已逾期",IF(T47-'基础参数'!$O$2&lt;=2,"红色预警",IF(T47-'基础参数'!$O$2&lt;=7,"黄色预警","正常")))))</x:f>
        <x:v>已完成</x:v>
      </x:c>
      <x:c r="AI47" s="27" t="str">
        <x:v>无异常</x:v>
      </x:c>
      <x:c r="AJ47" s="27" t="str">
        <x:v>-</x:v>
      </x:c>
      <x:c r="AK47" s="75" t="str">
        <x:f>IFERROR(VLOOKUP(AI47,'基础参数'!$N$5:$S$19,4,FALSE),"-")</x:f>
        <x:v>-</x:v>
      </x:c>
      <x:c r="AL47" s="33"/>
      <x:c r="AM47" s="27" t="str">
        <x:v>不适用</x:v>
      </x:c>
      <x:c r="AN47" s="27" t="str">
        <x:v>无异常</x:v>
      </x:c>
      <x:c r="AO47" s="69" t="str"/>
      <x:c r="AP47" s="69" t="str"/>
      <x:c r="AQ47" s="75" t="str">
        <x:f>IF(X47="","",IF(X47&lt;=W47,"是","否"))</x:f>
        <x:v>是</x:v>
      </x:c>
      <x:c r="AR47" s="75" t="str">
        <x:f>IFERROR(VLOOKUP(AI47,'基础参数'!$N$5:$S$19,2,FALSE),"无异常")</x:f>
        <x:v>无异常</x:v>
      </x:c>
    </x:row>
    <x:row r="48" ht="34" customHeight="1">
      <x:c r="A48" s="49" t="str">
        <x:v>PO-26-043</x:v>
      </x:c>
      <x:c r="B48" s="50" t="n">
        <x:v>46098</x:v>
      </x:c>
      <x:c r="C48" s="72" t="str">
        <x:v>C016</x:v>
      </x:c>
      <x:c r="D48" s="75" t="str">
        <x:f>IFERROR(VLOOKUP(C48,'基础参数'!$A$5:$E$22,2,FALSE),"")</x:f>
        <x:v>Sakura Field Co.</x:v>
      </x:c>
      <x:c r="E48" s="75" t="str">
        <x:f>IFERROR(VLOOKUP(C48,'基础参数'!$A$5:$E$22,3,FALSE),"")</x:f>
        <x:v>日本</x:v>
      </x:c>
      <x:c r="F48" s="75" t="str">
        <x:f>IFERROR(VLOOKUP(C48,'基础参数'!$A$5:$E$22,4,FALSE),"")</x:f>
        <x:v>亚洲</x:v>
      </x:c>
      <x:c r="G48" s="72" t="str">
        <x:v>LGT-240</x:v>
      </x:c>
      <x:c r="H48" s="75" t="str">
        <x:f>IFERROR(VLOOKUP(G48,'基础参数'!$G$5:$L$16,2,FALSE),"")</x:f>
        <x:v>太阳能营地灯串</x:v>
      </x:c>
      <x:c r="I48" s="75" t="str">
        <x:f>IFERROR(VLOOKUP(G48,'基础参数'!$G$5:$L$16,3,FALSE),"")</x:f>
        <x:v>露营照明</x:v>
      </x:c>
      <x:c r="J48" s="58" t="n">
        <x:v>950</x:v>
      </x:c>
      <x:c r="K48" s="59" t="n">
        <x:v>26.86</x:v>
      </x:c>
      <x:c r="L48" s="60" t="str">
        <x:v>USD</x:v>
      </x:c>
      <x:c r="M48" s="78" t="n">
        <x:f>J48*K48</x:f>
        <x:v>25517</x:v>
      </x:c>
      <x:c r="N48" s="60" t="str">
        <x:v>CIF</x:v>
      </x:c>
      <x:c r="O48" s="60" t="str">
        <x:v>国际快递</x:v>
      </x:c>
      <x:c r="P48" s="60" t="str">
        <x:v>DHL Express</x:v>
      </x:c>
      <x:c r="Q48" s="60" t="str">
        <x:v>已收款</x:v>
      </x:c>
      <x:c r="R48" s="62" t="n">
        <x:v>46123</x:v>
      </x:c>
      <x:c r="S48" s="62" t="n">
        <x:v>46124</x:v>
      </x:c>
      <x:c r="T48" s="62" t="n">
        <x:v>46127</x:v>
      </x:c>
      <x:c r="U48" s="62" t="n">
        <x:v>46128</x:v>
      </x:c>
      <x:c r="V48" s="62" t="n">
        <x:v>46129</x:v>
      </x:c>
      <x:c r="W48" s="62" t="n">
        <x:v>46134</x:v>
      </x:c>
      <x:c r="X48" s="62" t="n">
        <x:v>46133</x:v>
      </x:c>
      <x:c r="Y48" s="60" t="str">
        <x:v>已签收</x:v>
      </x:c>
      <x:c r="Z48" s="60" t="str">
        <x:v>已签收</x:v>
      </x:c>
      <x:c r="AA48" s="60" t="str">
        <x:v>已完成</x:v>
      </x:c>
      <x:c r="AB48" s="60" t="str">
        <x:v>已完成</x:v>
      </x:c>
      <x:c r="AC48" s="60" t="str">
        <x:v>已完成</x:v>
      </x:c>
      <x:c r="AD48" s="60" t="str">
        <x:v>已完成</x:v>
      </x:c>
      <x:c r="AE48" s="60" t="str">
        <x:v>已完成</x:v>
      </x:c>
      <x:c r="AF48" s="81" t="n">
        <x:f>COUNTIF(AA48:AE48,"已完成")/5</x:f>
        <x:v>1</x:v>
      </x:c>
      <x:c r="AG48" s="75" t="str">
        <x:f>IF(U48&lt;&gt;"","",T48-'基础参数'!$O$2)</x:f>
      </x:c>
      <x:c r="AH48" s="75" t="str">
        <x:f>IF(X48&lt;&gt;"","已完成",IF(U48&lt;&gt;"",IF(U48&gt;T48,"延迟出库","运输中"),IF(T48&lt;'基础参数'!$O$2,"已逾期",IF(T48-'基础参数'!$O$2&lt;=2,"红色预警",IF(T48-'基础参数'!$O$2&lt;=7,"黄色预警","正常")))))</x:f>
        <x:v>已完成</x:v>
      </x:c>
      <x:c r="AI48" s="27" t="str">
        <x:v>无异常</x:v>
      </x:c>
      <x:c r="AJ48" s="27" t="str">
        <x:v>-</x:v>
      </x:c>
      <x:c r="AK48" s="75" t="str">
        <x:f>IFERROR(VLOOKUP(AI48,'基础参数'!$N$5:$S$19,4,FALSE),"-")</x:f>
        <x:v>-</x:v>
      </x:c>
      <x:c r="AL48" s="33"/>
      <x:c r="AM48" s="27" t="str">
        <x:v>不适用</x:v>
      </x:c>
      <x:c r="AN48" s="27" t="str">
        <x:v>无异常</x:v>
      </x:c>
      <x:c r="AO48" s="69" t="str"/>
      <x:c r="AP48" s="69" t="str"/>
      <x:c r="AQ48" s="75" t="str">
        <x:f>IF(X48="","",IF(X48&lt;=W48,"是","否"))</x:f>
        <x:v>是</x:v>
      </x:c>
      <x:c r="AR48" s="75" t="str">
        <x:f>IFERROR(VLOOKUP(AI48,'基础参数'!$N$5:$S$19,2,FALSE),"无异常")</x:f>
        <x:v>无异常</x:v>
      </x:c>
    </x:row>
    <x:row r="49" ht="34" customHeight="1">
      <x:c r="A49" s="49" t="str">
        <x:v>PO-26-044</x:v>
      </x:c>
      <x:c r="B49" s="50" t="n">
        <x:v>46100</x:v>
      </x:c>
      <x:c r="C49" s="72" t="str">
        <x:v>C001</x:v>
      </x:c>
      <x:c r="D49" s="75" t="str">
        <x:f>IFERROR(VLOOKUP(C49,'基础参数'!$A$5:$E$22,2,FALSE),"")</x:f>
        <x:v>NordTrail GmbH</x:v>
      </x:c>
      <x:c r="E49" s="75" t="str">
        <x:f>IFERROR(VLOOKUP(C49,'基础参数'!$A$5:$E$22,3,FALSE),"")</x:f>
        <x:v>德国</x:v>
      </x:c>
      <x:c r="F49" s="75" t="str">
        <x:f>IFERROR(VLOOKUP(C49,'基础参数'!$A$5:$E$22,4,FALSE),"")</x:f>
        <x:v>欧洲</x:v>
      </x:c>
      <x:c r="G49" s="72" t="str">
        <x:v>TBL-220</x:v>
      </x:c>
      <x:c r="H49" s="75" t="str">
        <x:f>IFERROR(VLOOKUP(G49,'基础参数'!$G$5:$L$16,2,FALSE),"")</x:f>
        <x:v>便携折叠桌</x:v>
      </x:c>
      <x:c r="I49" s="75" t="str">
        <x:f>IFERROR(VLOOKUP(G49,'基础参数'!$G$5:$L$16,3,FALSE),"")</x:f>
        <x:v>折叠家具</x:v>
      </x:c>
      <x:c r="J49" s="58" t="n">
        <x:v>1150</x:v>
      </x:c>
      <x:c r="K49" s="59" t="n">
        <x:v>40.45</x:v>
      </x:c>
      <x:c r="L49" s="60" t="str">
        <x:v>EUR</x:v>
      </x:c>
      <x:c r="M49" s="78" t="n">
        <x:f>J49*K49</x:f>
        <x:v>46517.5</x:v>
      </x:c>
      <x:c r="N49" s="60" t="str">
        <x:v>FOB</x:v>
      </x:c>
      <x:c r="O49" s="60" t="str">
        <x:v>国际快递</x:v>
      </x:c>
      <x:c r="P49" s="60" t="str">
        <x:v>UPS</x:v>
      </x:c>
      <x:c r="Q49" s="60" t="str">
        <x:v>已收款</x:v>
      </x:c>
      <x:c r="R49" s="62" t="n">
        <x:v>46127</x:v>
      </x:c>
      <x:c r="S49" s="62" t="n">
        <x:v>46125</x:v>
      </x:c>
      <x:c r="T49" s="62" t="n">
        <x:v>46131</x:v>
      </x:c>
      <x:c r="U49" s="62" t="n">
        <x:v>46130</x:v>
      </x:c>
      <x:c r="V49" s="62" t="n">
        <x:v>46131</x:v>
      </x:c>
      <x:c r="W49" s="62" t="n">
        <x:v>46136</x:v>
      </x:c>
      <x:c r="X49" s="62" t="n">
        <x:v>46136</x:v>
      </x:c>
      <x:c r="Y49" s="60" t="str">
        <x:v>已签收</x:v>
      </x:c>
      <x:c r="Z49" s="60" t="str">
        <x:v>已签收</x:v>
      </x:c>
      <x:c r="AA49" s="60" t="str">
        <x:v>已完成</x:v>
      </x:c>
      <x:c r="AB49" s="60" t="str">
        <x:v>已完成</x:v>
      </x:c>
      <x:c r="AC49" s="60" t="str">
        <x:v>已完成</x:v>
      </x:c>
      <x:c r="AD49" s="60" t="str">
        <x:v>已完成</x:v>
      </x:c>
      <x:c r="AE49" s="60" t="str">
        <x:v>已完成</x:v>
      </x:c>
      <x:c r="AF49" s="81" t="n">
        <x:f>COUNTIF(AA49:AE49,"已完成")/5</x:f>
        <x:v>1</x:v>
      </x:c>
      <x:c r="AG49" s="75" t="str">
        <x:f>IF(U49&lt;&gt;"","",T49-'基础参数'!$O$2)</x:f>
      </x:c>
      <x:c r="AH49" s="75" t="str">
        <x:f>IF(X49&lt;&gt;"","已完成",IF(U49&lt;&gt;"",IF(U49&gt;T49,"延迟出库","运输中"),IF(T49&lt;'基础参数'!$O$2,"已逾期",IF(T49-'基础参数'!$O$2&lt;=2,"红色预警",IF(T49-'基础参数'!$O$2&lt;=7,"黄色预警","正常")))))</x:f>
        <x:v>已完成</x:v>
      </x:c>
      <x:c r="AI49" s="27" t="str">
        <x:v>无异常</x:v>
      </x:c>
      <x:c r="AJ49" s="27" t="str">
        <x:v>-</x:v>
      </x:c>
      <x:c r="AK49" s="75" t="str">
        <x:f>IFERROR(VLOOKUP(AI49,'基础参数'!$N$5:$S$19,4,FALSE),"-")</x:f>
        <x:v>-</x:v>
      </x:c>
      <x:c r="AL49" s="33"/>
      <x:c r="AM49" s="27" t="str">
        <x:v>不适用</x:v>
      </x:c>
      <x:c r="AN49" s="27" t="str">
        <x:v>无异常</x:v>
      </x:c>
      <x:c r="AO49" s="69" t="str"/>
      <x:c r="AP49" s="69" t="str"/>
      <x:c r="AQ49" s="75" t="str">
        <x:f>IF(X49="","",IF(X49&lt;=W49,"是","否"))</x:f>
        <x:v>是</x:v>
      </x:c>
      <x:c r="AR49" s="75" t="str">
        <x:f>IFERROR(VLOOKUP(AI49,'基础参数'!$N$5:$S$19,2,FALSE),"无异常")</x:f>
        <x:v>无异常</x:v>
      </x:c>
    </x:row>
    <x:row r="50" ht="34" customHeight="1">
      <x:c r="A50" s="49" t="str">
        <x:v>PO-26-045</x:v>
      </x:c>
      <x:c r="B50" s="50" t="n">
        <x:v>46102</x:v>
      </x:c>
      <x:c r="C50" s="72" t="str">
        <x:v>C005</x:v>
      </x:c>
      <x:c r="D50" s="75" t="str">
        <x:f>IFERROR(VLOOKUP(C50,'基础参数'!$A$5:$E$22,2,FALSE),"")</x:f>
        <x:v>Terra Outdoor SRL</x:v>
      </x:c>
      <x:c r="E50" s="75" t="str">
        <x:f>IFERROR(VLOOKUP(C50,'基础参数'!$A$5:$E$22,3,FALSE),"")</x:f>
        <x:v>意大利</x:v>
      </x:c>
      <x:c r="F50" s="75" t="str">
        <x:f>IFERROR(VLOOKUP(C50,'基础参数'!$A$5:$E$22,4,FALSE),"")</x:f>
        <x:v>欧洲</x:v>
      </x:c>
      <x:c r="G50" s="72" t="str">
        <x:v>LGT-240</x:v>
      </x:c>
      <x:c r="H50" s="75" t="str">
        <x:f>IFERROR(VLOOKUP(G50,'基础参数'!$G$5:$L$16,2,FALSE),"")</x:f>
        <x:v>太阳能营地灯串</x:v>
      </x:c>
      <x:c r="I50" s="75" t="str">
        <x:f>IFERROR(VLOOKUP(G50,'基础参数'!$G$5:$L$16,3,FALSE),"")</x:f>
        <x:v>露营照明</x:v>
      </x:c>
      <x:c r="J50" s="58" t="n">
        <x:v>2150</x:v>
      </x:c>
      <x:c r="K50" s="59" t="n">
        <x:v>27.17</x:v>
      </x:c>
      <x:c r="L50" s="60" t="str">
        <x:v>EUR</x:v>
      </x:c>
      <x:c r="M50" s="78" t="n">
        <x:f>J50*K50</x:f>
        <x:v>58415.50000000001</x:v>
      </x:c>
      <x:c r="N50" s="60" t="str">
        <x:v>CIF</x:v>
      </x:c>
      <x:c r="O50" s="60" t="str">
        <x:v>海运</x:v>
      </x:c>
      <x:c r="P50" s="60" t="str">
        <x:v>Maersk</x:v>
      </x:c>
      <x:c r="Q50" s="60" t="str">
        <x:v>已收款</x:v>
      </x:c>
      <x:c r="R50" s="62" t="n">
        <x:v>46127</x:v>
      </x:c>
      <x:c r="S50" s="62" t="n">
        <x:v>46125</x:v>
      </x:c>
      <x:c r="T50" s="62" t="n">
        <x:v>46131</x:v>
      </x:c>
      <x:c r="U50" s="62" t="n">
        <x:v>46131</x:v>
      </x:c>
      <x:c r="V50" s="62" t="n">
        <x:v>46132</x:v>
      </x:c>
      <x:c r="W50" s="62" t="n">
        <x:v>46164</x:v>
      </x:c>
      <x:c r="X50" s="62" t="n">
        <x:v>46162</x:v>
      </x:c>
      <x:c r="Y50" s="60" t="str">
        <x:v>已签收</x:v>
      </x:c>
      <x:c r="Z50" s="60" t="str">
        <x:v>已签收</x:v>
      </x:c>
      <x:c r="AA50" s="60" t="str">
        <x:v>已完成</x:v>
      </x:c>
      <x:c r="AB50" s="60" t="str">
        <x:v>已完成</x:v>
      </x:c>
      <x:c r="AC50" s="60" t="str">
        <x:v>已完成</x:v>
      </x:c>
      <x:c r="AD50" s="60" t="str">
        <x:v>已完成</x:v>
      </x:c>
      <x:c r="AE50" s="60" t="str">
        <x:v>已完成</x:v>
      </x:c>
      <x:c r="AF50" s="81" t="n">
        <x:f>COUNTIF(AA50:AE50,"已完成")/5</x:f>
        <x:v>1</x:v>
      </x:c>
      <x:c r="AG50" s="75" t="str">
        <x:f>IF(U50&lt;&gt;"","",T50-'基础参数'!$O$2)</x:f>
      </x:c>
      <x:c r="AH50" s="75" t="str">
        <x:f>IF(X50&lt;&gt;"","已完成",IF(U50&lt;&gt;"",IF(U50&gt;T50,"延迟出库","运输中"),IF(T50&lt;'基础参数'!$O$2,"已逾期",IF(T50-'基础参数'!$O$2&lt;=2,"红色预警",IF(T50-'基础参数'!$O$2&lt;=7,"黄色预警","正常")))))</x:f>
        <x:v>已完成</x:v>
      </x:c>
      <x:c r="AI50" s="27" t="str">
        <x:v>无异常</x:v>
      </x:c>
      <x:c r="AJ50" s="27" t="str">
        <x:v>-</x:v>
      </x:c>
      <x:c r="AK50" s="75" t="str">
        <x:f>IFERROR(VLOOKUP(AI50,'基础参数'!$N$5:$S$19,4,FALSE),"-")</x:f>
        <x:v>-</x:v>
      </x:c>
      <x:c r="AL50" s="33"/>
      <x:c r="AM50" s="27" t="str">
        <x:v>不适用</x:v>
      </x:c>
      <x:c r="AN50" s="27" t="str">
        <x:v>无异常</x:v>
      </x:c>
      <x:c r="AO50" s="69" t="str"/>
      <x:c r="AP50" s="69" t="str"/>
      <x:c r="AQ50" s="75" t="str">
        <x:f>IF(X50="","",IF(X50&lt;=W50,"是","否"))</x:f>
        <x:v>是</x:v>
      </x:c>
      <x:c r="AR50" s="75" t="str">
        <x:f>IFERROR(VLOOKUP(AI50,'基础参数'!$N$5:$S$19,2,FALSE),"无异常")</x:f>
        <x:v>无异常</x:v>
      </x:c>
    </x:row>
    <x:row r="51" ht="34" customHeight="1">
      <x:c r="A51" s="49" t="str">
        <x:v>PO-26-046</x:v>
      </x:c>
      <x:c r="B51" s="50" t="n">
        <x:v>46103</x:v>
      </x:c>
      <x:c r="C51" s="72" t="str">
        <x:v>C011</x:v>
      </x:c>
      <x:c r="D51" s="75" t="str">
        <x:f>IFERROR(VLOOKUP(C51,'基础参数'!$A$5:$E$22,2,FALSE),"")</x:f>
        <x:v>Maple Camp Ltd.</x:v>
      </x:c>
      <x:c r="E51" s="75" t="str">
        <x:f>IFERROR(VLOOKUP(C51,'基础参数'!$A$5:$E$22,3,FALSE),"")</x:f>
        <x:v>加拿大</x:v>
      </x:c>
      <x:c r="F51" s="75" t="str">
        <x:f>IFERROR(VLOOKUP(C51,'基础参数'!$A$5:$E$22,4,FALSE),"")</x:f>
        <x:v>北美</x:v>
      </x:c>
      <x:c r="G51" s="72" t="str">
        <x:v>MAT-160</x:v>
      </x:c>
      <x:c r="H51" s="75" t="str">
        <x:f>IFERROR(VLOOKUP(G51,'基础参数'!$G$5:$L$16,2,FALSE),"")</x:f>
        <x:v>防水野餐垫</x:v>
      </x:c>
      <x:c r="I51" s="75" t="str">
        <x:f>IFERROR(VLOOKUP(G51,'基础参数'!$G$5:$L$16,3,FALSE),"")</x:f>
        <x:v>野餐垫</x:v>
      </x:c>
      <x:c r="J51" s="58" t="n">
        <x:v>1700</x:v>
      </x:c>
      <x:c r="K51" s="59" t="n">
        <x:v>13.91</x:v>
      </x:c>
      <x:c r="L51" s="60" t="str">
        <x:v>USD</x:v>
      </x:c>
      <x:c r="M51" s="78" t="n">
        <x:f>J51*K51</x:f>
        <x:v>23647</x:v>
      </x:c>
      <x:c r="N51" s="60" t="str">
        <x:v>FOB</x:v>
      </x:c>
      <x:c r="O51" s="60" t="str">
        <x:v>空运</x:v>
      </x:c>
      <x:c r="P51" s="60" t="str">
        <x:v>Kuehne+Nagel</x:v>
      </x:c>
      <x:c r="Q51" s="60" t="str">
        <x:v>已收款</x:v>
      </x:c>
      <x:c r="R51" s="62" t="n">
        <x:v>46121</x:v>
      </x:c>
      <x:c r="S51" s="62" t="n">
        <x:v>46130</x:v>
      </x:c>
      <x:c r="T51" s="62" t="n">
        <x:v>46125</x:v>
      </x:c>
      <x:c r="U51" s="62" t="n">
        <x:v>46135</x:v>
      </x:c>
      <x:c r="V51" s="62" t="n">
        <x:v>46136</x:v>
      </x:c>
      <x:c r="W51" s="62" t="n">
        <x:v>46144</x:v>
      </x:c>
      <x:c r="X51" s="62" t="n">
        <x:v>46144</x:v>
      </x:c>
      <x:c r="Y51" s="60" t="str">
        <x:v>已签收</x:v>
      </x:c>
      <x:c r="Z51" s="60" t="str">
        <x:v>已签收</x:v>
      </x:c>
      <x:c r="AA51" s="60" t="str">
        <x:v>已完成</x:v>
      </x:c>
      <x:c r="AB51" s="60" t="str">
        <x:v>已完成</x:v>
      </x:c>
      <x:c r="AC51" s="60" t="str">
        <x:v>已完成</x:v>
      </x:c>
      <x:c r="AD51" s="60" t="str">
        <x:v>已完成</x:v>
      </x:c>
      <x:c r="AE51" s="60" t="str">
        <x:v>已完成</x:v>
      </x:c>
      <x:c r="AF51" s="81" t="n">
        <x:f>COUNTIF(AA51:AE51,"已完成")/5</x:f>
        <x:v>1</x:v>
      </x:c>
      <x:c r="AG51" s="75" t="str">
        <x:f>IF(U51&lt;&gt;"","",T51-'基础参数'!$O$2)</x:f>
      </x:c>
      <x:c r="AH51" s="75" t="str">
        <x:f>IF(X51&lt;&gt;"","已完成",IF(U51&lt;&gt;"",IF(U51&gt;T51,"延迟出库","运输中"),IF(T51&lt;'基础参数'!$O$2,"已逾期",IF(T51-'基础参数'!$O$2&lt;=2,"红色预警",IF(T51-'基础参数'!$O$2&lt;=7,"黄色预警","正常")))))</x:f>
        <x:v>已完成</x:v>
      </x:c>
      <x:c r="AI51" s="27" t="str">
        <x:v>包装破损</x:v>
      </x:c>
      <x:c r="AJ51" s="27" t="str">
        <x:v>A级</x:v>
      </x:c>
      <x:c r="AK51" s="75" t="str">
        <x:f>IFERROR(VLOOKUP(AI51,'基础参数'!$N$5:$S$19,4,FALSE),"-")</x:f>
        <x:v>品质主管</x:v>
      </x:c>
      <x:c r="AL51" s="33" t="n">
        <x:v>46123</x:v>
      </x:c>
      <x:c r="AM51" s="27" t="str">
        <x:v>已通知</x:v>
      </x:c>
      <x:c r="AN51" s="27" t="str">
        <x:v>已关闭</x:v>
      </x:c>
      <x:c r="AO51" s="69" t="str">
        <x:v>包装破损导致计划节点存在重大偏差</x:v>
      </x:c>
      <x:c r="AP51" s="69" t="str">
        <x:v>已完成补救并取得客户确认</x:v>
      </x:c>
      <x:c r="AQ51" s="75" t="str">
        <x:f>IF(X51="","",IF(X51&lt;=W51,"是","否"))</x:f>
        <x:v>是</x:v>
      </x:c>
      <x:c r="AR51" s="75" t="str">
        <x:f>IFERROR(VLOOKUP(AI51,'基础参数'!$N$5:$S$19,2,FALSE),"无异常")</x:f>
        <x:v>生产与备货</x:v>
      </x:c>
    </x:row>
    <x:row r="52" ht="34" customHeight="1">
      <x:c r="A52" s="49" t="str">
        <x:v>PO-26-047</x:v>
      </x:c>
      <x:c r="B52" s="50" t="n">
        <x:v>46105</x:v>
      </x:c>
      <x:c r="C52" s="72" t="str">
        <x:v>C015</x:v>
      </x:c>
      <x:c r="D52" s="75" t="str">
        <x:f>IFERROR(VLOOKUP(C52,'基础参数'!$A$5:$E$22,2,FALSE),"")</x:f>
        <x:v>Desert Moon Trading</x:v>
      </x:c>
      <x:c r="E52" s="75" t="str">
        <x:f>IFERROR(VLOOKUP(C52,'基础参数'!$A$5:$E$22,3,FALSE),"")</x:f>
        <x:v>阿联酋</x:v>
      </x:c>
      <x:c r="F52" s="75" t="str">
        <x:f>IFERROR(VLOOKUP(C52,'基础参数'!$A$5:$E$22,4,FALSE),"")</x:f>
        <x:v>中东</x:v>
      </x:c>
      <x:c r="G52" s="72" t="str">
        <x:v>CKT-150</x:v>
      </x:c>
      <x:c r="H52" s="75" t="str">
        <x:f>IFERROR(VLOOKUP(G52,'基础参数'!$G$5:$L$16,2,FALSE),"")</x:f>
        <x:v>不锈钢炊具套装</x:v>
      </x:c>
      <x:c r="I52" s="75" t="str">
        <x:f>IFERROR(VLOOKUP(G52,'基础参数'!$G$5:$L$16,3,FALSE),"")</x:f>
        <x:v>户外炊具</x:v>
      </x:c>
      <x:c r="J52" s="58" t="n">
        <x:v>700</x:v>
      </x:c>
      <x:c r="K52" s="59" t="n">
        <x:v>29.09</x:v>
      </x:c>
      <x:c r="L52" s="60" t="str">
        <x:v>USD</x:v>
      </x:c>
      <x:c r="M52" s="78" t="n">
        <x:f>J52*K52</x:f>
        <x:v>20363</x:v>
      </x:c>
      <x:c r="N52" s="60" t="str">
        <x:v>FOB</x:v>
      </x:c>
      <x:c r="O52" s="60" t="str">
        <x:v>海运</x:v>
      </x:c>
      <x:c r="P52" s="60" t="str">
        <x:v>CMA CGM</x:v>
      </x:c>
      <x:c r="Q52" s="60" t="str">
        <x:v>已收款</x:v>
      </x:c>
      <x:c r="R52" s="62" t="n">
        <x:v>46131</x:v>
      </x:c>
      <x:c r="S52" s="62" t="n">
        <x:v>46129</x:v>
      </x:c>
      <x:c r="T52" s="62" t="n">
        <x:v>46135</x:v>
      </x:c>
      <x:c r="U52" s="62" t="n">
        <x:v>46136</x:v>
      </x:c>
      <x:c r="V52" s="62" t="n">
        <x:v>46137</x:v>
      </x:c>
      <x:c r="W52" s="62" t="n">
        <x:v>46169</x:v>
      </x:c>
      <x:c r="X52" s="62" t="n">
        <x:v>46167</x:v>
      </x:c>
      <x:c r="Y52" s="60" t="str">
        <x:v>已签收</x:v>
      </x:c>
      <x:c r="Z52" s="60" t="str">
        <x:v>已签收</x:v>
      </x:c>
      <x:c r="AA52" s="60" t="str">
        <x:v>已完成</x:v>
      </x:c>
      <x:c r="AB52" s="60" t="str">
        <x:v>已完成</x:v>
      </x:c>
      <x:c r="AC52" s="60" t="str">
        <x:v>已完成</x:v>
      </x:c>
      <x:c r="AD52" s="60" t="str">
        <x:v>已完成</x:v>
      </x:c>
      <x:c r="AE52" s="60" t="str">
        <x:v>已完成</x:v>
      </x:c>
      <x:c r="AF52" s="81" t="n">
        <x:f>COUNTIF(AA52:AE52,"已完成")/5</x:f>
        <x:v>1</x:v>
      </x:c>
      <x:c r="AG52" s="75" t="str">
        <x:f>IF(U52&lt;&gt;"","",T52-'基础参数'!$O$2)</x:f>
      </x:c>
      <x:c r="AH52" s="75" t="str">
        <x:f>IF(X52&lt;&gt;"","已完成",IF(U52&lt;&gt;"",IF(U52&gt;T52,"延迟出库","运输中"),IF(T52&lt;'基础参数'!$O$2,"已逾期",IF(T52-'基础参数'!$O$2&lt;=2,"红色预警",IF(T52-'基础参数'!$O$2&lt;=7,"黄色预警","正常")))))</x:f>
        <x:v>已完成</x:v>
      </x:c>
      <x:c r="AI52" s="27" t="str">
        <x:v>无异常</x:v>
      </x:c>
      <x:c r="AJ52" s="27" t="str">
        <x:v>-</x:v>
      </x:c>
      <x:c r="AK52" s="75" t="str">
        <x:f>IFERROR(VLOOKUP(AI52,'基础参数'!$N$5:$S$19,4,FALSE),"-")</x:f>
        <x:v>-</x:v>
      </x:c>
      <x:c r="AL52" s="33"/>
      <x:c r="AM52" s="27" t="str">
        <x:v>不适用</x:v>
      </x:c>
      <x:c r="AN52" s="27" t="str">
        <x:v>无异常</x:v>
      </x:c>
      <x:c r="AO52" s="69" t="str"/>
      <x:c r="AP52" s="69" t="str"/>
      <x:c r="AQ52" s="75" t="str">
        <x:f>IF(X52="","",IF(X52&lt;=W52,"是","否"))</x:f>
        <x:v>是</x:v>
      </x:c>
      <x:c r="AR52" s="75" t="str">
        <x:f>IFERROR(VLOOKUP(AI52,'基础参数'!$N$5:$S$19,2,FALSE),"无异常")</x:f>
        <x:v>无异常</x:v>
      </x:c>
    </x:row>
    <x:row r="53" ht="34" customHeight="1">
      <x:c r="A53" s="49" t="str">
        <x:v>PO-26-048</x:v>
      </x:c>
      <x:c r="B53" s="50" t="n">
        <x:v>46107</x:v>
      </x:c>
      <x:c r="C53" s="72" t="str">
        <x:v>C004</x:v>
      </x:c>
      <x:c r="D53" s="75" t="str">
        <x:f>IFERROR(VLOOKUP(C53,'基础参数'!$A$5:$E$22,2,FALSE),"")</x:f>
        <x:v>WildPeak AB</x:v>
      </x:c>
      <x:c r="E53" s="75" t="str">
        <x:f>IFERROR(VLOOKUP(C53,'基础参数'!$A$5:$E$22,3,FALSE),"")</x:f>
        <x:v>瑞典</x:v>
      </x:c>
      <x:c r="F53" s="75" t="str">
        <x:f>IFERROR(VLOOKUP(C53,'基础参数'!$A$5:$E$22,4,FALSE),"")</x:f>
        <x:v>欧洲</x:v>
      </x:c>
      <x:c r="G53" s="72" t="str">
        <x:v>MAT-160</x:v>
      </x:c>
      <x:c r="H53" s="75" t="str">
        <x:f>IFERROR(VLOOKUP(G53,'基础参数'!$G$5:$L$16,2,FALSE),"")</x:f>
        <x:v>防水野餐垫</x:v>
      </x:c>
      <x:c r="I53" s="75" t="str">
        <x:f>IFERROR(VLOOKUP(G53,'基础参数'!$G$5:$L$16,3,FALSE),"")</x:f>
        <x:v>野餐垫</x:v>
      </x:c>
      <x:c r="J53" s="58" t="n">
        <x:v>850</x:v>
      </x:c>
      <x:c r="K53" s="59" t="n">
        <x:v>14.72</x:v>
      </x:c>
      <x:c r="L53" s="60" t="str">
        <x:v>EUR</x:v>
      </x:c>
      <x:c r="M53" s="78" t="n">
        <x:f>J53*K53</x:f>
        <x:v>12512</x:v>
      </x:c>
      <x:c r="N53" s="60" t="str">
        <x:v>CIF</x:v>
      </x:c>
      <x:c r="O53" s="60" t="str">
        <x:v>海运</x:v>
      </x:c>
      <x:c r="P53" s="60" t="str">
        <x:v>COSCO</x:v>
      </x:c>
      <x:c r="Q53" s="60" t="str">
        <x:v>已收款</x:v>
      </x:c>
      <x:c r="R53" s="62" t="n">
        <x:v>46125</x:v>
      </x:c>
      <x:c r="S53" s="62" t="n">
        <x:v>46123</x:v>
      </x:c>
      <x:c r="T53" s="62" t="n">
        <x:v>46129</x:v>
      </x:c>
      <x:c r="U53" s="62" t="n">
        <x:v>46129</x:v>
      </x:c>
      <x:c r="V53" s="62" t="n">
        <x:v>46130</x:v>
      </x:c>
      <x:c r="W53" s="62" t="n">
        <x:v>46162</x:v>
      </x:c>
      <x:c r="X53" s="62" t="n">
        <x:v>46160</x:v>
      </x:c>
      <x:c r="Y53" s="60" t="str">
        <x:v>已签收</x:v>
      </x:c>
      <x:c r="Z53" s="60" t="str">
        <x:v>已签收</x:v>
      </x:c>
      <x:c r="AA53" s="60" t="str">
        <x:v>已完成</x:v>
      </x:c>
      <x:c r="AB53" s="60" t="str">
        <x:v>已完成</x:v>
      </x:c>
      <x:c r="AC53" s="60" t="str">
        <x:v>已完成</x:v>
      </x:c>
      <x:c r="AD53" s="60" t="str">
        <x:v>已完成</x:v>
      </x:c>
      <x:c r="AE53" s="60" t="str">
        <x:v>已完成</x:v>
      </x:c>
      <x:c r="AF53" s="81" t="n">
        <x:f>COUNTIF(AA53:AE53,"已完成")/5</x:f>
        <x:v>1</x:v>
      </x:c>
      <x:c r="AG53" s="75" t="str">
        <x:f>IF(U53&lt;&gt;"","",T53-'基础参数'!$O$2)</x:f>
      </x:c>
      <x:c r="AH53" s="75" t="str">
        <x:f>IF(X53&lt;&gt;"","已完成",IF(U53&lt;&gt;"",IF(U53&gt;T53,"延迟出库","运输中"),IF(T53&lt;'基础参数'!$O$2,"已逾期",IF(T53-'基础参数'!$O$2&lt;=2,"红色预警",IF(T53-'基础参数'!$O$2&lt;=7,"黄色预警","正常")))))</x:f>
        <x:v>已完成</x:v>
      </x:c>
      <x:c r="AI53" s="27" t="str">
        <x:v>无异常</x:v>
      </x:c>
      <x:c r="AJ53" s="27" t="str">
        <x:v>-</x:v>
      </x:c>
      <x:c r="AK53" s="75" t="str">
        <x:f>IFERROR(VLOOKUP(AI53,'基础参数'!$N$5:$S$19,4,FALSE),"-")</x:f>
        <x:v>-</x:v>
      </x:c>
      <x:c r="AL53" s="33"/>
      <x:c r="AM53" s="27" t="str">
        <x:v>不适用</x:v>
      </x:c>
      <x:c r="AN53" s="27" t="str">
        <x:v>无异常</x:v>
      </x:c>
      <x:c r="AO53" s="69" t="str"/>
      <x:c r="AP53" s="69" t="str"/>
      <x:c r="AQ53" s="75" t="str">
        <x:f>IF(X53="","",IF(X53&lt;=W53,"是","否"))</x:f>
        <x:v>是</x:v>
      </x:c>
      <x:c r="AR53" s="75" t="str">
        <x:f>IFERROR(VLOOKUP(AI53,'基础参数'!$N$5:$S$19,2,FALSE),"无异常")</x:f>
        <x:v>无异常</x:v>
      </x:c>
    </x:row>
    <x:row r="54" ht="34" customHeight="1">
      <x:c r="A54" s="49" t="str">
        <x:v>PO-26-049</x:v>
      </x:c>
      <x:c r="B54" s="50" t="n">
        <x:v>46109</x:v>
      </x:c>
      <x:c r="C54" s="72" t="str">
        <x:v>C008</x:v>
      </x:c>
      <x:c r="D54" s="75" t="str">
        <x:f>IFERROR(VLOOKUP(C54,'基础参数'!$A$5:$E$22,2,FALSE),"")</x:f>
        <x:v>Camp Harbor LLC</x:v>
      </x:c>
      <x:c r="E54" s="75" t="str">
        <x:f>IFERROR(VLOOKUP(C54,'基础参数'!$A$5:$E$22,3,FALSE),"")</x:f>
        <x:v>美国</x:v>
      </x:c>
      <x:c r="F54" s="75" t="str">
        <x:f>IFERROR(VLOOKUP(C54,'基础参数'!$A$5:$E$22,4,FALSE),"")</x:f>
        <x:v>北美</x:v>
      </x:c>
      <x:c r="G54" s="72" t="str">
        <x:v>TEN-210</x:v>
      </x:c>
      <x:c r="H54" s="75" t="str">
        <x:f>IFERROR(VLOOKUP(G54,'基础参数'!$G$5:$L$16,2,FALSE),"")</x:f>
        <x:v>双人轻量帐篷</x:v>
      </x:c>
      <x:c r="I54" s="75" t="str">
        <x:f>IFERROR(VLOOKUP(G54,'基础参数'!$G$5:$L$16,3,FALSE),"")</x:f>
        <x:v>帐篷</x:v>
      </x:c>
      <x:c r="J54" s="58" t="n">
        <x:v>500</x:v>
      </x:c>
      <x:c r="K54" s="59" t="n">
        <x:v>61.7</x:v>
      </x:c>
      <x:c r="L54" s="60" t="str">
        <x:v>USD</x:v>
      </x:c>
      <x:c r="M54" s="78" t="n">
        <x:f>J54*K54</x:f>
        <x:v>30850</x:v>
      </x:c>
      <x:c r="N54" s="60" t="str">
        <x:v>FOB</x:v>
      </x:c>
      <x:c r="O54" s="60" t="str">
        <x:v>国际快递</x:v>
      </x:c>
      <x:c r="P54" s="60" t="str">
        <x:v>DHL Express</x:v>
      </x:c>
      <x:c r="Q54" s="60" t="str">
        <x:v>已收款</x:v>
      </x:c>
      <x:c r="R54" s="62" t="n">
        <x:v>46141</x:v>
      </x:c>
      <x:c r="S54" s="62" t="n">
        <x:v>46140</x:v>
      </x:c>
      <x:c r="T54" s="62" t="n">
        <x:v>46145</x:v>
      </x:c>
      <x:c r="U54" s="62" t="n">
        <x:v>46146</x:v>
      </x:c>
      <x:c r="V54" s="62" t="n">
        <x:v>46147</x:v>
      </x:c>
      <x:c r="W54" s="62" t="n">
        <x:v>46152</x:v>
      </x:c>
      <x:c r="X54" s="62" t="n">
        <x:v>46151</x:v>
      </x:c>
      <x:c r="Y54" s="60" t="str">
        <x:v>已签收</x:v>
      </x:c>
      <x:c r="Z54" s="60" t="str">
        <x:v>已签收</x:v>
      </x:c>
      <x:c r="AA54" s="60" t="str">
        <x:v>已完成</x:v>
      </x:c>
      <x:c r="AB54" s="60" t="str">
        <x:v>已完成</x:v>
      </x:c>
      <x:c r="AC54" s="60" t="str">
        <x:v>已完成</x:v>
      </x:c>
      <x:c r="AD54" s="60" t="str">
        <x:v>已完成</x:v>
      </x:c>
      <x:c r="AE54" s="60" t="str">
        <x:v>已完成</x:v>
      </x:c>
      <x:c r="AF54" s="81" t="n">
        <x:f>COUNTIF(AA54:AE54,"已完成")/5</x:f>
        <x:v>1</x:v>
      </x:c>
      <x:c r="AG54" s="75" t="str">
        <x:f>IF(U54&lt;&gt;"","",T54-'基础参数'!$O$2)</x:f>
      </x:c>
      <x:c r="AH54" s="75" t="str">
        <x:f>IF(X54&lt;&gt;"","已完成",IF(U54&lt;&gt;"",IF(U54&gt;T54,"延迟出库","运输中"),IF(T54&lt;'基础参数'!$O$2,"已逾期",IF(T54-'基础参数'!$O$2&lt;=2,"红色预警",IF(T54-'基础参数'!$O$2&lt;=7,"黄色预警","正常")))))</x:f>
        <x:v>已完成</x:v>
      </x:c>
      <x:c r="AI54" s="27" t="str">
        <x:v>无异常</x:v>
      </x:c>
      <x:c r="AJ54" s="27" t="str">
        <x:v>-</x:v>
      </x:c>
      <x:c r="AK54" s="75" t="str">
        <x:f>IFERROR(VLOOKUP(AI54,'基础参数'!$N$5:$S$19,4,FALSE),"-")</x:f>
        <x:v>-</x:v>
      </x:c>
      <x:c r="AL54" s="33"/>
      <x:c r="AM54" s="27" t="str">
        <x:v>不适用</x:v>
      </x:c>
      <x:c r="AN54" s="27" t="str">
        <x:v>无异常</x:v>
      </x:c>
      <x:c r="AO54" s="69" t="str"/>
      <x:c r="AP54" s="69" t="str"/>
      <x:c r="AQ54" s="75" t="str">
        <x:f>IF(X54="","",IF(X54&lt;=W54,"是","否"))</x:f>
        <x:v>是</x:v>
      </x:c>
      <x:c r="AR54" s="75" t="str">
        <x:f>IFERROR(VLOOKUP(AI54,'基础参数'!$N$5:$S$19,2,FALSE),"无异常")</x:f>
        <x:v>无异常</x:v>
      </x:c>
    </x:row>
    <x:row r="55" ht="34" customHeight="1">
      <x:c r="A55" s="49" t="str">
        <x:v>PO-26-050</x:v>
      </x:c>
      <x:c r="B55" s="50" t="n">
        <x:v>46110</x:v>
      </x:c>
      <x:c r="C55" s="72" t="str">
        <x:v>C016</x:v>
      </x:c>
      <x:c r="D55" s="75" t="str">
        <x:f>IFERROR(VLOOKUP(C55,'基础参数'!$A$5:$E$22,2,FALSE),"")</x:f>
        <x:v>Sakura Field Co.</x:v>
      </x:c>
      <x:c r="E55" s="75" t="str">
        <x:f>IFERROR(VLOOKUP(C55,'基础参数'!$A$5:$E$22,3,FALSE),"")</x:f>
        <x:v>日本</x:v>
      </x:c>
      <x:c r="F55" s="75" t="str">
        <x:f>IFERROR(VLOOKUP(C55,'基础参数'!$A$5:$E$22,4,FALSE),"")</x:f>
        <x:v>亚洲</x:v>
      </x:c>
      <x:c r="G55" s="72" t="str">
        <x:v>LGT-100</x:v>
      </x:c>
      <x:c r="H55" s="75" t="str">
        <x:f>IFERROR(VLOOKUP(G55,'基础参数'!$G$5:$L$16,2,FALSE),"")</x:f>
        <x:v>USB充电露营灯</x:v>
      </x:c>
      <x:c r="I55" s="75" t="str">
        <x:f>IFERROR(VLOOKUP(G55,'基础参数'!$G$5:$L$16,3,FALSE),"")</x:f>
        <x:v>露营照明</x:v>
      </x:c>
      <x:c r="J55" s="58" t="n">
        <x:v>900</x:v>
      </x:c>
      <x:c r="K55" s="59" t="n">
        <x:v>19.35</x:v>
      </x:c>
      <x:c r="L55" s="60" t="str">
        <x:v>USD</x:v>
      </x:c>
      <x:c r="M55" s="78" t="n">
        <x:f>J55*K55</x:f>
        <x:v>17415</x:v>
      </x:c>
      <x:c r="N55" s="60" t="str">
        <x:v>FOB</x:v>
      </x:c>
      <x:c r="O55" s="60" t="str">
        <x:v>国际快递</x:v>
      </x:c>
      <x:c r="P55" s="60" t="str">
        <x:v>DHL Express</x:v>
      </x:c>
      <x:c r="Q55" s="60" t="str">
        <x:v>已收款</x:v>
      </x:c>
      <x:c r="R55" s="62" t="n">
        <x:v>46132</x:v>
      </x:c>
      <x:c r="S55" s="62" t="n">
        <x:v>46132</x:v>
      </x:c>
      <x:c r="T55" s="62" t="n">
        <x:v>46136</x:v>
      </x:c>
      <x:c r="U55" s="62" t="n">
        <x:v>46136</x:v>
      </x:c>
      <x:c r="V55" s="62" t="n">
        <x:v>46137</x:v>
      </x:c>
      <x:c r="W55" s="62" t="n">
        <x:v>46142</x:v>
      </x:c>
      <x:c r="X55" s="62" t="n">
        <x:v>46141</x:v>
      </x:c>
      <x:c r="Y55" s="60" t="str">
        <x:v>已签收</x:v>
      </x:c>
      <x:c r="Z55" s="60" t="str">
        <x:v>已签收</x:v>
      </x:c>
      <x:c r="AA55" s="60" t="str">
        <x:v>已完成</x:v>
      </x:c>
      <x:c r="AB55" s="60" t="str">
        <x:v>已完成</x:v>
      </x:c>
      <x:c r="AC55" s="60" t="str">
        <x:v>已完成</x:v>
      </x:c>
      <x:c r="AD55" s="60" t="str">
        <x:v>已完成</x:v>
      </x:c>
      <x:c r="AE55" s="60" t="str">
        <x:v>已完成</x:v>
      </x:c>
      <x:c r="AF55" s="81" t="n">
        <x:f>COUNTIF(AA55:AE55,"已完成")/5</x:f>
        <x:v>1</x:v>
      </x:c>
      <x:c r="AG55" s="75" t="str">
        <x:f>IF(U55&lt;&gt;"","",T55-'基础参数'!$O$2)</x:f>
      </x:c>
      <x:c r="AH55" s="75" t="str">
        <x:f>IF(X55&lt;&gt;"","已完成",IF(U55&lt;&gt;"",IF(U55&gt;T55,"延迟出库","运输中"),IF(T55&lt;'基础参数'!$O$2,"已逾期",IF(T55-'基础参数'!$O$2&lt;=2,"红色预警",IF(T55-'基础参数'!$O$2&lt;=7,"黄色预警","正常")))))</x:f>
        <x:v>已完成</x:v>
      </x:c>
      <x:c r="AI55" s="27" t="str">
        <x:v>无异常</x:v>
      </x:c>
      <x:c r="AJ55" s="27" t="str">
        <x:v>-</x:v>
      </x:c>
      <x:c r="AK55" s="75" t="str">
        <x:f>IFERROR(VLOOKUP(AI55,'基础参数'!$N$5:$S$19,4,FALSE),"-")</x:f>
        <x:v>-</x:v>
      </x:c>
      <x:c r="AL55" s="33"/>
      <x:c r="AM55" s="27" t="str">
        <x:v>不适用</x:v>
      </x:c>
      <x:c r="AN55" s="27" t="str">
        <x:v>无异常</x:v>
      </x:c>
      <x:c r="AO55" s="69" t="str"/>
      <x:c r="AP55" s="69" t="str"/>
      <x:c r="AQ55" s="75" t="str">
        <x:f>IF(X55="","",IF(X55&lt;=W55,"是","否"))</x:f>
        <x:v>是</x:v>
      </x:c>
      <x:c r="AR55" s="75" t="str">
        <x:f>IFERROR(VLOOKUP(AI55,'基础参数'!$N$5:$S$19,2,FALSE),"无异常")</x:f>
        <x:v>无异常</x:v>
      </x:c>
    </x:row>
    <x:row r="56" ht="34" customHeight="1">
      <x:c r="A56" s="49" t="str">
        <x:v>PO-26-051</x:v>
      </x:c>
      <x:c r="B56" s="50" t="n">
        <x:v>46112</x:v>
      </x:c>
      <x:c r="C56" s="72" t="str">
        <x:v>C002</x:v>
      </x:c>
      <x:c r="D56" s="75" t="str">
        <x:f>IFERROR(VLOOKUP(C56,'基础参数'!$A$5:$E$22,2,FALSE),"")</x:f>
        <x:v>Alpine Base SAS</x:v>
      </x:c>
      <x:c r="E56" s="75" t="str">
        <x:f>IFERROR(VLOOKUP(C56,'基础参数'!$A$5:$E$22,3,FALSE),"")</x:f>
        <x:v>法国</x:v>
      </x:c>
      <x:c r="F56" s="75" t="str">
        <x:f>IFERROR(VLOOKUP(C56,'基础参数'!$A$5:$E$22,4,FALSE),"")</x:f>
        <x:v>欧洲</x:v>
      </x:c>
      <x:c r="G56" s="72" t="str">
        <x:v>SLP-120</x:v>
      </x:c>
      <x:c r="H56" s="75" t="str">
        <x:f>IFERROR(VLOOKUP(G56,'基础参数'!$G$5:$L$16,2,FALSE),"")</x:f>
        <x:v>三季木乃伊睡袋</x:v>
      </x:c>
      <x:c r="I56" s="75" t="str">
        <x:f>IFERROR(VLOOKUP(G56,'基础参数'!$G$5:$L$16,3,FALSE),"")</x:f>
        <x:v>睡袋</x:v>
      </x:c>
      <x:c r="J56" s="58" t="n">
        <x:v>1050</x:v>
      </x:c>
      <x:c r="K56" s="59" t="n">
        <x:v>31.24</x:v>
      </x:c>
      <x:c r="L56" s="60" t="str">
        <x:v>EUR</x:v>
      </x:c>
      <x:c r="M56" s="78" t="n">
        <x:f>J56*K56</x:f>
        <x:v>32802</x:v>
      </x:c>
      <x:c r="N56" s="60" t="str">
        <x:v>FOB</x:v>
      </x:c>
      <x:c r="O56" s="60" t="str">
        <x:v>海运</x:v>
      </x:c>
      <x:c r="P56" s="60" t="str">
        <x:v>CMA CGM</x:v>
      </x:c>
      <x:c r="Q56" s="60" t="str">
        <x:v>已收款</x:v>
      </x:c>
      <x:c r="R56" s="62" t="n">
        <x:v>46141</x:v>
      </x:c>
      <x:c r="S56" s="62" t="n">
        <x:v>46140</x:v>
      </x:c>
      <x:c r="T56" s="62" t="n">
        <x:v>46145</x:v>
      </x:c>
      <x:c r="U56" s="62" t="n">
        <x:v>46144</x:v>
      </x:c>
      <x:c r="V56" s="62" t="n">
        <x:v>46145</x:v>
      </x:c>
      <x:c r="W56" s="62" t="n">
        <x:v>46177</x:v>
      </x:c>
      <x:c r="X56" s="62" t="n">
        <x:v>46176</x:v>
      </x:c>
      <x:c r="Y56" s="60" t="str">
        <x:v>已签收</x:v>
      </x:c>
      <x:c r="Z56" s="60" t="str">
        <x:v>已签收</x:v>
      </x:c>
      <x:c r="AA56" s="60" t="str">
        <x:v>已完成</x:v>
      </x:c>
      <x:c r="AB56" s="60" t="str">
        <x:v>已完成</x:v>
      </x:c>
      <x:c r="AC56" s="60" t="str">
        <x:v>已完成</x:v>
      </x:c>
      <x:c r="AD56" s="60" t="str">
        <x:v>已完成</x:v>
      </x:c>
      <x:c r="AE56" s="60" t="str">
        <x:v>已完成</x:v>
      </x:c>
      <x:c r="AF56" s="81" t="n">
        <x:f>COUNTIF(AA56:AE56,"已完成")/5</x:f>
        <x:v>1</x:v>
      </x:c>
      <x:c r="AG56" s="75" t="str">
        <x:f>IF(U56&lt;&gt;"","",T56-'基础参数'!$O$2)</x:f>
      </x:c>
      <x:c r="AH56" s="75" t="str">
        <x:f>IF(X56&lt;&gt;"","已完成",IF(U56&lt;&gt;"",IF(U56&gt;T56,"延迟出库","运输中"),IF(T56&lt;'基础参数'!$O$2,"已逾期",IF(T56-'基础参数'!$O$2&lt;=2,"红色预警",IF(T56-'基础参数'!$O$2&lt;=7,"黄色预警","正常")))))</x:f>
        <x:v>已完成</x:v>
      </x:c>
      <x:c r="AI56" s="27" t="str">
        <x:v>无异常</x:v>
      </x:c>
      <x:c r="AJ56" s="27" t="str">
        <x:v>-</x:v>
      </x:c>
      <x:c r="AK56" s="75" t="str">
        <x:f>IFERROR(VLOOKUP(AI56,'基础参数'!$N$5:$S$19,4,FALSE),"-")</x:f>
        <x:v>-</x:v>
      </x:c>
      <x:c r="AL56" s="33"/>
      <x:c r="AM56" s="27" t="str">
        <x:v>不适用</x:v>
      </x:c>
      <x:c r="AN56" s="27" t="str">
        <x:v>无异常</x:v>
      </x:c>
      <x:c r="AO56" s="69" t="str"/>
      <x:c r="AP56" s="69" t="str"/>
      <x:c r="AQ56" s="75" t="str">
        <x:f>IF(X56="","",IF(X56&lt;=W56,"是","否"))</x:f>
        <x:v>是</x:v>
      </x:c>
      <x:c r="AR56" s="75" t="str">
        <x:f>IFERROR(VLOOKUP(AI56,'基础参数'!$N$5:$S$19,2,FALSE),"无异常")</x:f>
        <x:v>无异常</x:v>
      </x:c>
    </x:row>
    <x:row r="57" ht="34" customHeight="1">
      <x:c r="A57" s="49" t="str">
        <x:v>PO-26-052</x:v>
      </x:c>
      <x:c r="B57" s="50" t="n">
        <x:v>46114</x:v>
      </x:c>
      <x:c r="C57" s="72" t="str">
        <x:v>C004</x:v>
      </x:c>
      <x:c r="D57" s="75" t="str">
        <x:f>IFERROR(VLOOKUP(C57,'基础参数'!$A$5:$E$22,2,FALSE),"")</x:f>
        <x:v>WildPeak AB</x:v>
      </x:c>
      <x:c r="E57" s="75" t="str">
        <x:f>IFERROR(VLOOKUP(C57,'基础参数'!$A$5:$E$22,3,FALSE),"")</x:f>
        <x:v>瑞典</x:v>
      </x:c>
      <x:c r="F57" s="75" t="str">
        <x:f>IFERROR(VLOOKUP(C57,'基础参数'!$A$5:$E$22,4,FALSE),"")</x:f>
        <x:v>欧洲</x:v>
      </x:c>
      <x:c r="G57" s="72" t="str">
        <x:v>LGT-240</x:v>
      </x:c>
      <x:c r="H57" s="75" t="str">
        <x:f>IFERROR(VLOOKUP(G57,'基础参数'!$G$5:$L$16,2,FALSE),"")</x:f>
        <x:v>太阳能营地灯串</x:v>
      </x:c>
      <x:c r="I57" s="75" t="str">
        <x:f>IFERROR(VLOOKUP(G57,'基础参数'!$G$5:$L$16,3,FALSE),"")</x:f>
        <x:v>露营照明</x:v>
      </x:c>
      <x:c r="J57" s="58" t="n">
        <x:v>2300</x:v>
      </x:c>
      <x:c r="K57" s="59" t="n">
        <x:v>25.04</x:v>
      </x:c>
      <x:c r="L57" s="60" t="str">
        <x:v>EUR</x:v>
      </x:c>
      <x:c r="M57" s="78" t="n">
        <x:f>J57*K57</x:f>
        <x:v>57592</x:v>
      </x:c>
      <x:c r="N57" s="60" t="str">
        <x:v>FOB</x:v>
      </x:c>
      <x:c r="O57" s="60" t="str">
        <x:v>空运</x:v>
      </x:c>
      <x:c r="P57" s="60" t="str">
        <x:v>DHL Global Forwarding</x:v>
      </x:c>
      <x:c r="Q57" s="60" t="str">
        <x:v>已收款</x:v>
      </x:c>
      <x:c r="R57" s="62" t="n">
        <x:v>46139</x:v>
      </x:c>
      <x:c r="S57" s="62" t="n">
        <x:v>46140</x:v>
      </x:c>
      <x:c r="T57" s="62" t="n">
        <x:v>46143</x:v>
      </x:c>
      <x:c r="U57" s="62" t="n">
        <x:v>46143</x:v>
      </x:c>
      <x:c r="V57" s="62" t="n">
        <x:v>46144</x:v>
      </x:c>
      <x:c r="W57" s="62" t="n">
        <x:v>46152</x:v>
      </x:c>
      <x:c r="X57" s="62" t="n">
        <x:v>46162</x:v>
      </x:c>
      <x:c r="Y57" s="60" t="str">
        <x:v>已签收</x:v>
      </x:c>
      <x:c r="Z57" s="60" t="str">
        <x:v>已签收</x:v>
      </x:c>
      <x:c r="AA57" s="60" t="str">
        <x:v>已完成</x:v>
      </x:c>
      <x:c r="AB57" s="60" t="str">
        <x:v>已完成</x:v>
      </x:c>
      <x:c r="AC57" s="60" t="str">
        <x:v>已完成</x:v>
      </x:c>
      <x:c r="AD57" s="60" t="str">
        <x:v>已完成</x:v>
      </x:c>
      <x:c r="AE57" s="60" t="str">
        <x:v>已完成</x:v>
      </x:c>
      <x:c r="AF57" s="81" t="n">
        <x:f>COUNTIF(AA57:AE57,"已完成")/5</x:f>
        <x:v>1</x:v>
      </x:c>
      <x:c r="AG57" s="75" t="str">
        <x:f>IF(U57&lt;&gt;"","",T57-'基础参数'!$O$2)</x:f>
      </x:c>
      <x:c r="AH57" s="75" t="str">
        <x:f>IF(X57&lt;&gt;"","已完成",IF(U57&lt;&gt;"",IF(U57&gt;T57,"延迟出库","运输中"),IF(T57&lt;'基础参数'!$O$2,"已逾期",IF(T57-'基础参数'!$O$2&lt;=2,"红色预警",IF(T57-'基础参数'!$O$2&lt;=7,"黄色预警","正常")))))</x:f>
        <x:v>已完成</x:v>
      </x:c>
      <x:c r="AI57" s="27" t="str">
        <x:v>物流轨迹停滞</x:v>
      </x:c>
      <x:c r="AJ57" s="27" t="str">
        <x:v>B级</x:v>
      </x:c>
      <x:c r="AK57" s="75" t="str">
        <x:f>IFERROR(VLOOKUP(AI57,'基础参数'!$N$5:$S$19,4,FALSE),"-")</x:f>
        <x:v>物流操作</x:v>
      </x:c>
      <x:c r="AL57" s="33" t="n">
        <x:v>46141</x:v>
      </x:c>
      <x:c r="AM57" s="27" t="str">
        <x:v>已通知</x:v>
      </x:c>
      <x:c r="AN57" s="27" t="str">
        <x:v>已关闭</x:v>
      </x:c>
      <x:c r="AO57" s="69" t="str">
        <x:v>物流轨迹停滞导致计划节点存在一般偏差</x:v>
      </x:c>
      <x:c r="AP57" s="69" t="str">
        <x:v>已完成补救并取得客户确认</x:v>
      </x:c>
      <x:c r="AQ57" s="75" t="str">
        <x:f>IF(X57="","",IF(X57&lt;=W57,"是","否"))</x:f>
        <x:v>否</x:v>
      </x:c>
      <x:c r="AR57" s="75" t="str">
        <x:f>IFERROR(VLOOKUP(AI57,'基础参数'!$N$5:$S$19,2,FALSE),"无异常")</x:f>
        <x:v>在途物流</x:v>
      </x:c>
    </x:row>
    <x:row r="58" ht="34" customHeight="1">
      <x:c r="A58" s="49" t="str">
        <x:v>PO-26-053</x:v>
      </x:c>
      <x:c r="B58" s="50" t="n">
        <x:v>46116</x:v>
      </x:c>
      <x:c r="C58" s="72" t="str">
        <x:v>C013</x:v>
      </x:c>
      <x:c r="D58" s="75" t="str">
        <x:f>IFERROR(VLOOKUP(C58,'基础参数'!$A$5:$E$22,2,FALSE),"")</x:f>
        <x:v>Coast &amp; Camp Pty</x:v>
      </x:c>
      <x:c r="E58" s="75" t="str">
        <x:f>IFERROR(VLOOKUP(C58,'基础参数'!$A$5:$E$22,3,FALSE),"")</x:f>
        <x:v>澳大利亚</x:v>
      </x:c>
      <x:c r="F58" s="75" t="str">
        <x:f>IFERROR(VLOOKUP(C58,'基础参数'!$A$5:$E$22,4,FALSE),"")</x:f>
        <x:v>澳洲</x:v>
      </x:c>
      <x:c r="G58" s="72" t="str">
        <x:v>SLP-120</x:v>
      </x:c>
      <x:c r="H58" s="75" t="str">
        <x:f>IFERROR(VLOOKUP(G58,'基础参数'!$G$5:$L$16,2,FALSE),"")</x:f>
        <x:v>三季木乃伊睡袋</x:v>
      </x:c>
      <x:c r="I58" s="75" t="str">
        <x:f>IFERROR(VLOOKUP(G58,'基础参数'!$G$5:$L$16,3,FALSE),"")</x:f>
        <x:v>睡袋</x:v>
      </x:c>
      <x:c r="J58" s="58" t="n">
        <x:v>1250</x:v>
      </x:c>
      <x:c r="K58" s="59" t="n">
        <x:v>31.53</x:v>
      </x:c>
      <x:c r="L58" s="60" t="str">
        <x:v>USD</x:v>
      </x:c>
      <x:c r="M58" s="78" t="n">
        <x:f>J58*K58</x:f>
        <x:v>39412.5</x:v>
      </x:c>
      <x:c r="N58" s="60" t="str">
        <x:v>CIF</x:v>
      </x:c>
      <x:c r="O58" s="60" t="str">
        <x:v>海运</x:v>
      </x:c>
      <x:c r="P58" s="60" t="str">
        <x:v>Maersk</x:v>
      </x:c>
      <x:c r="Q58" s="60" t="str">
        <x:v>已收款</x:v>
      </x:c>
      <x:c r="R58" s="62" t="n">
        <x:v>46145</x:v>
      </x:c>
      <x:c r="S58" s="62" t="n">
        <x:v>46146</x:v>
      </x:c>
      <x:c r="T58" s="62" t="n">
        <x:v>46149</x:v>
      </x:c>
      <x:c r="U58" s="62" t="n">
        <x:v>46149</x:v>
      </x:c>
      <x:c r="V58" s="62" t="n">
        <x:v>46150</x:v>
      </x:c>
      <x:c r="W58" s="62" t="n">
        <x:v>46182</x:v>
      </x:c>
      <x:c r="X58" s="62" t="n">
        <x:v>46184</x:v>
      </x:c>
      <x:c r="Y58" s="60" t="str">
        <x:v>已签收</x:v>
      </x:c>
      <x:c r="Z58" s="60" t="str">
        <x:v>已签收</x:v>
      </x:c>
      <x:c r="AA58" s="60" t="str">
        <x:v>已完成</x:v>
      </x:c>
      <x:c r="AB58" s="60" t="str">
        <x:v>已完成</x:v>
      </x:c>
      <x:c r="AC58" s="60" t="str">
        <x:v>已完成</x:v>
      </x:c>
      <x:c r="AD58" s="60" t="str">
        <x:v>已完成</x:v>
      </x:c>
      <x:c r="AE58" s="60" t="str">
        <x:v>已完成</x:v>
      </x:c>
      <x:c r="AF58" s="81" t="n">
        <x:f>COUNTIF(AA58:AE58,"已完成")/5</x:f>
        <x:v>1</x:v>
      </x:c>
      <x:c r="AG58" s="75" t="str">
        <x:f>IF(U58&lt;&gt;"","",T58-'基础参数'!$O$2)</x:f>
      </x:c>
      <x:c r="AH58" s="75" t="str">
        <x:f>IF(X58&lt;&gt;"","已完成",IF(U58&lt;&gt;"",IF(U58&gt;T58,"延迟出库","运输中"),IF(T58&lt;'基础参数'!$O$2,"已逾期",IF(T58-'基础参数'!$O$2&lt;=2,"红色预警",IF(T58-'基础参数'!$O$2&lt;=7,"黄色预警","正常")))))</x:f>
        <x:v>已完成</x:v>
      </x:c>
      <x:c r="AI58" s="27" t="str">
        <x:v>无异常</x:v>
      </x:c>
      <x:c r="AJ58" s="27" t="str">
        <x:v>-</x:v>
      </x:c>
      <x:c r="AK58" s="75" t="str">
        <x:f>IFERROR(VLOOKUP(AI58,'基础参数'!$N$5:$S$19,4,FALSE),"-")</x:f>
        <x:v>-</x:v>
      </x:c>
      <x:c r="AL58" s="33"/>
      <x:c r="AM58" s="27" t="str">
        <x:v>不适用</x:v>
      </x:c>
      <x:c r="AN58" s="27" t="str">
        <x:v>无异常</x:v>
      </x:c>
      <x:c r="AO58" s="69" t="str"/>
      <x:c r="AP58" s="69" t="str"/>
      <x:c r="AQ58" s="75" t="str">
        <x:f>IF(X58="","",IF(X58&lt;=W58,"是","否"))</x:f>
        <x:v>否</x:v>
      </x:c>
      <x:c r="AR58" s="75" t="str">
        <x:f>IFERROR(VLOOKUP(AI58,'基础参数'!$N$5:$S$19,2,FALSE),"无异常")</x:f>
        <x:v>无异常</x:v>
      </x:c>
    </x:row>
    <x:row r="59" ht="34" customHeight="1">
      <x:c r="A59" s="49" t="str">
        <x:v>PO-26-054</x:v>
      </x:c>
      <x:c r="B59" s="50" t="n">
        <x:v>46117</x:v>
      </x:c>
      <x:c r="C59" s="72" t="str">
        <x:v>C014</x:v>
      </x:c>
      <x:c r="D59" s="75" t="str">
        <x:f>IFERROR(VLOOKUP(C59,'基础参数'!$A$5:$E$22,2,FALSE),"")</x:f>
        <x:v>Kiwi Trek Ltd.</x:v>
      </x:c>
      <x:c r="E59" s="75" t="str">
        <x:f>IFERROR(VLOOKUP(C59,'基础参数'!$A$5:$E$22,3,FALSE),"")</x:f>
        <x:v>新西兰</x:v>
      </x:c>
      <x:c r="F59" s="75" t="str">
        <x:f>IFERROR(VLOOKUP(C59,'基础参数'!$A$5:$E$22,4,FALSE),"")</x:f>
        <x:v>澳洲</x:v>
      </x:c>
      <x:c r="G59" s="72" t="str">
        <x:v>CHR-110</x:v>
      </x:c>
      <x:c r="H59" s="75" t="str">
        <x:f>IFERROR(VLOOKUP(G59,'基础参数'!$G$5:$L$16,2,FALSE),"")</x:f>
        <x:v>铝合金折叠椅</x:v>
      </x:c>
      <x:c r="I59" s="75" t="str">
        <x:f>IFERROR(VLOOKUP(G59,'基础参数'!$G$5:$L$16,3,FALSE),"")</x:f>
        <x:v>折叠家具</x:v>
      </x:c>
      <x:c r="J59" s="58" t="n">
        <x:v>900</x:v>
      </x:c>
      <x:c r="K59" s="59" t="n">
        <x:v>23.47</x:v>
      </x:c>
      <x:c r="L59" s="60" t="str">
        <x:v>USD</x:v>
      </x:c>
      <x:c r="M59" s="78" t="n">
        <x:f>J59*K59</x:f>
        <x:v>21123</x:v>
      </x:c>
      <x:c r="N59" s="60" t="str">
        <x:v>DDP</x:v>
      </x:c>
      <x:c r="O59" s="60" t="str">
        <x:v>海运</x:v>
      </x:c>
      <x:c r="P59" s="60" t="str">
        <x:v>Maersk</x:v>
      </x:c>
      <x:c r="Q59" s="60" t="str">
        <x:v>已收款</x:v>
      </x:c>
      <x:c r="R59" s="62" t="n">
        <x:v>46141</x:v>
      </x:c>
      <x:c r="S59" s="62" t="n">
        <x:v>46141</x:v>
      </x:c>
      <x:c r="T59" s="62" t="n">
        <x:v>46145</x:v>
      </x:c>
      <x:c r="U59" s="62" t="n">
        <x:v>46144</x:v>
      </x:c>
      <x:c r="V59" s="62" t="n">
        <x:v>46145</x:v>
      </x:c>
      <x:c r="W59" s="62" t="n">
        <x:v>46177</x:v>
      </x:c>
      <x:c r="X59" s="62" t="n">
        <x:v>46177</x:v>
      </x:c>
      <x:c r="Y59" s="60" t="str">
        <x:v>已签收</x:v>
      </x:c>
      <x:c r="Z59" s="60" t="str">
        <x:v>已签收</x:v>
      </x:c>
      <x:c r="AA59" s="60" t="str">
        <x:v>已完成</x:v>
      </x:c>
      <x:c r="AB59" s="60" t="str">
        <x:v>已完成</x:v>
      </x:c>
      <x:c r="AC59" s="60" t="str">
        <x:v>已完成</x:v>
      </x:c>
      <x:c r="AD59" s="60" t="str">
        <x:v>已完成</x:v>
      </x:c>
      <x:c r="AE59" s="60" t="str">
        <x:v>已完成</x:v>
      </x:c>
      <x:c r="AF59" s="81" t="n">
        <x:f>COUNTIF(AA59:AE59,"已完成")/5</x:f>
        <x:v>1</x:v>
      </x:c>
      <x:c r="AG59" s="75" t="str">
        <x:f>IF(U59&lt;&gt;"","",T59-'基础参数'!$O$2)</x:f>
      </x:c>
      <x:c r="AH59" s="75" t="str">
        <x:f>IF(X59&lt;&gt;"","已完成",IF(U59&lt;&gt;"",IF(U59&gt;T59,"延迟出库","运输中"),IF(T59&lt;'基础参数'!$O$2,"已逾期",IF(T59-'基础参数'!$O$2&lt;=2,"红色预警",IF(T59-'基础参数'!$O$2&lt;=7,"黄色预警","正常")))))</x:f>
        <x:v>已完成</x:v>
      </x:c>
      <x:c r="AI59" s="27" t="str">
        <x:v>无异常</x:v>
      </x:c>
      <x:c r="AJ59" s="27" t="str">
        <x:v>-</x:v>
      </x:c>
      <x:c r="AK59" s="75" t="str">
        <x:f>IFERROR(VLOOKUP(AI59,'基础参数'!$N$5:$S$19,4,FALSE),"-")</x:f>
        <x:v>-</x:v>
      </x:c>
      <x:c r="AL59" s="33"/>
      <x:c r="AM59" s="27" t="str">
        <x:v>不适用</x:v>
      </x:c>
      <x:c r="AN59" s="27" t="str">
        <x:v>无异常</x:v>
      </x:c>
      <x:c r="AO59" s="69" t="str"/>
      <x:c r="AP59" s="69" t="str"/>
      <x:c r="AQ59" s="75" t="str">
        <x:f>IF(X59="","",IF(X59&lt;=W59,"是","否"))</x:f>
        <x:v>是</x:v>
      </x:c>
      <x:c r="AR59" s="75" t="str">
        <x:f>IFERROR(VLOOKUP(AI59,'基础参数'!$N$5:$S$19,2,FALSE),"无异常")</x:f>
        <x:v>无异常</x:v>
      </x:c>
    </x:row>
    <x:row r="60" ht="34" customHeight="1">
      <x:c r="A60" s="49" t="str">
        <x:v>PO-26-055</x:v>
      </x:c>
      <x:c r="B60" s="50" t="n">
        <x:v>46119</x:v>
      </x:c>
      <x:c r="C60" s="72" t="str">
        <x:v>C001</x:v>
      </x:c>
      <x:c r="D60" s="75" t="str">
        <x:f>IFERROR(VLOOKUP(C60,'基础参数'!$A$5:$E$22,2,FALSE),"")</x:f>
        <x:v>NordTrail GmbH</x:v>
      </x:c>
      <x:c r="E60" s="75" t="str">
        <x:f>IFERROR(VLOOKUP(C60,'基础参数'!$A$5:$E$22,3,FALSE),"")</x:f>
        <x:v>德国</x:v>
      </x:c>
      <x:c r="F60" s="75" t="str">
        <x:f>IFERROR(VLOOKUP(C60,'基础参数'!$A$5:$E$22,4,FALSE),"")</x:f>
        <x:v>欧洲</x:v>
      </x:c>
      <x:c r="G60" s="72" t="str">
        <x:v>MAT-230</x:v>
      </x:c>
      <x:c r="H60" s="75" t="str">
        <x:f>IFERROR(VLOOKUP(G60,'基础参数'!$G$5:$L$16,2,FALSE),"")</x:f>
        <x:v>自充气露营垫</x:v>
      </x:c>
      <x:c r="I60" s="75" t="str">
        <x:f>IFERROR(VLOOKUP(G60,'基础参数'!$G$5:$L$16,3,FALSE),"")</x:f>
        <x:v>野餐垫</x:v>
      </x:c>
      <x:c r="J60" s="58" t="n">
        <x:v>1550</x:v>
      </x:c>
      <x:c r="K60" s="59" t="n">
        <x:v>40.62</x:v>
      </x:c>
      <x:c r="L60" s="60" t="str">
        <x:v>EUR</x:v>
      </x:c>
      <x:c r="M60" s="78" t="n">
        <x:f>J60*K60</x:f>
        <x:v>62960.99999999999</x:v>
      </x:c>
      <x:c r="N60" s="60" t="str">
        <x:v>CIF</x:v>
      </x:c>
      <x:c r="O60" s="60" t="str">
        <x:v>国际快递</x:v>
      </x:c>
      <x:c r="P60" s="60" t="str">
        <x:v>DHL Express</x:v>
      </x:c>
      <x:c r="Q60" s="60" t="str">
        <x:v>已收款</x:v>
      </x:c>
      <x:c r="R60" s="62" t="n">
        <x:v>46144</x:v>
      </x:c>
      <x:c r="S60" s="62" t="n">
        <x:v>46144</x:v>
      </x:c>
      <x:c r="T60" s="62" t="n">
        <x:v>46148</x:v>
      </x:c>
      <x:c r="U60" s="62" t="n">
        <x:v>46148</x:v>
      </x:c>
      <x:c r="V60" s="62" t="n">
        <x:v>46149</x:v>
      </x:c>
      <x:c r="W60" s="62" t="n">
        <x:v>46154</x:v>
      </x:c>
      <x:c r="X60" s="62" t="n">
        <x:v>46152</x:v>
      </x:c>
      <x:c r="Y60" s="60" t="str">
        <x:v>已签收</x:v>
      </x:c>
      <x:c r="Z60" s="60" t="str">
        <x:v>已签收</x:v>
      </x:c>
      <x:c r="AA60" s="60" t="str">
        <x:v>已完成</x:v>
      </x:c>
      <x:c r="AB60" s="60" t="str">
        <x:v>已完成</x:v>
      </x:c>
      <x:c r="AC60" s="60" t="str">
        <x:v>已完成</x:v>
      </x:c>
      <x:c r="AD60" s="60" t="str">
        <x:v>已完成</x:v>
      </x:c>
      <x:c r="AE60" s="60" t="str">
        <x:v>已完成</x:v>
      </x:c>
      <x:c r="AF60" s="81" t="n">
        <x:f>COUNTIF(AA60:AE60,"已完成")/5</x:f>
        <x:v>1</x:v>
      </x:c>
      <x:c r="AG60" s="75" t="str">
        <x:f>IF(U60&lt;&gt;"","",T60-'基础参数'!$O$2)</x:f>
      </x:c>
      <x:c r="AH60" s="75" t="str">
        <x:f>IF(X60&lt;&gt;"","已完成",IF(U60&lt;&gt;"",IF(U60&gt;T60,"延迟出库","运输中"),IF(T60&lt;'基础参数'!$O$2,"已逾期",IF(T60-'基础参数'!$O$2&lt;=2,"红色预警",IF(T60-'基础参数'!$O$2&lt;=7,"黄色预警","正常")))))</x:f>
        <x:v>已完成</x:v>
      </x:c>
      <x:c r="AI60" s="27" t="str">
        <x:v>无异常</x:v>
      </x:c>
      <x:c r="AJ60" s="27" t="str">
        <x:v>-</x:v>
      </x:c>
      <x:c r="AK60" s="75" t="str">
        <x:f>IFERROR(VLOOKUP(AI60,'基础参数'!$N$5:$S$19,4,FALSE),"-")</x:f>
        <x:v>-</x:v>
      </x:c>
      <x:c r="AL60" s="33"/>
      <x:c r="AM60" s="27" t="str">
        <x:v>不适用</x:v>
      </x:c>
      <x:c r="AN60" s="27" t="str">
        <x:v>无异常</x:v>
      </x:c>
      <x:c r="AO60" s="69" t="str"/>
      <x:c r="AP60" s="69" t="str"/>
      <x:c r="AQ60" s="75" t="str">
        <x:f>IF(X60="","",IF(X60&lt;=W60,"是","否"))</x:f>
        <x:v>是</x:v>
      </x:c>
      <x:c r="AR60" s="75" t="str">
        <x:f>IFERROR(VLOOKUP(AI60,'基础参数'!$N$5:$S$19,2,FALSE),"无异常")</x:f>
        <x:v>无异常</x:v>
      </x:c>
    </x:row>
    <x:row r="61" ht="34" customHeight="1">
      <x:c r="A61" s="49" t="str">
        <x:v>PO-26-056</x:v>
      </x:c>
      <x:c r="B61" s="50" t="n">
        <x:v>46121</x:v>
      </x:c>
      <x:c r="C61" s="72" t="str">
        <x:v>C010</x:v>
      </x:c>
      <x:c r="D61" s="75" t="str">
        <x:f>IFERROR(VLOOKUP(C61,'基础参数'!$A$5:$E$22,2,FALSE),"")</x:f>
        <x:v>TrailWorks Co.</x:v>
      </x:c>
      <x:c r="E61" s="75" t="str">
        <x:f>IFERROR(VLOOKUP(C61,'基础参数'!$A$5:$E$22,3,FALSE),"")</x:f>
        <x:v>美国</x:v>
      </x:c>
      <x:c r="F61" s="75" t="str">
        <x:f>IFERROR(VLOOKUP(C61,'基础参数'!$A$5:$E$22,4,FALSE),"")</x:f>
        <x:v>北美</x:v>
      </x:c>
      <x:c r="G61" s="72" t="str">
        <x:v>SLP-120</x:v>
      </x:c>
      <x:c r="H61" s="75" t="str">
        <x:f>IFERROR(VLOOKUP(G61,'基础参数'!$G$5:$L$16,2,FALSE),"")</x:f>
        <x:v>三季木乃伊睡袋</x:v>
      </x:c>
      <x:c r="I61" s="75" t="str">
        <x:f>IFERROR(VLOOKUP(G61,'基础参数'!$G$5:$L$16,3,FALSE),"")</x:f>
        <x:v>睡袋</x:v>
      </x:c>
      <x:c r="J61" s="58" t="n">
        <x:v>1650</x:v>
      </x:c>
      <x:c r="K61" s="59" t="n">
        <x:v>30.09</x:v>
      </x:c>
      <x:c r="L61" s="60" t="str">
        <x:v>USD</x:v>
      </x:c>
      <x:c r="M61" s="78" t="n">
        <x:f>J61*K61</x:f>
        <x:v>49648.5</x:v>
      </x:c>
      <x:c r="N61" s="60" t="str">
        <x:v>FOB</x:v>
      </x:c>
      <x:c r="O61" s="60" t="str">
        <x:v>海运</x:v>
      </x:c>
      <x:c r="P61" s="60" t="str">
        <x:v>COSCO</x:v>
      </x:c>
      <x:c r="Q61" s="60" t="str">
        <x:v>已收款</x:v>
      </x:c>
      <x:c r="R61" s="62" t="n">
        <x:v>46150</x:v>
      </x:c>
      <x:c r="S61" s="62" t="n">
        <x:v>46150</x:v>
      </x:c>
      <x:c r="T61" s="62" t="n">
        <x:v>46154</x:v>
      </x:c>
      <x:c r="U61" s="62" t="n">
        <x:v>46154</x:v>
      </x:c>
      <x:c r="V61" s="62" t="n">
        <x:v>46155</x:v>
      </x:c>
      <x:c r="W61" s="62" t="n">
        <x:v>46187</x:v>
      </x:c>
      <x:c r="X61" s="62" t="n">
        <x:v>46187</x:v>
      </x:c>
      <x:c r="Y61" s="60" t="str">
        <x:v>已签收</x:v>
      </x:c>
      <x:c r="Z61" s="60" t="str">
        <x:v>已签收</x:v>
      </x:c>
      <x:c r="AA61" s="60" t="str">
        <x:v>已完成</x:v>
      </x:c>
      <x:c r="AB61" s="60" t="str">
        <x:v>已完成</x:v>
      </x:c>
      <x:c r="AC61" s="60" t="str">
        <x:v>已完成</x:v>
      </x:c>
      <x:c r="AD61" s="60" t="str">
        <x:v>已完成</x:v>
      </x:c>
      <x:c r="AE61" s="60" t="str">
        <x:v>已完成</x:v>
      </x:c>
      <x:c r="AF61" s="81" t="n">
        <x:f>COUNTIF(AA61:AE61,"已完成")/5</x:f>
        <x:v>1</x:v>
      </x:c>
      <x:c r="AG61" s="75" t="str">
        <x:f>IF(U61&lt;&gt;"","",T61-'基础参数'!$O$2)</x:f>
      </x:c>
      <x:c r="AH61" s="75" t="str">
        <x:f>IF(X61&lt;&gt;"","已完成",IF(U61&lt;&gt;"",IF(U61&gt;T61,"延迟出库","运输中"),IF(T61&lt;'基础参数'!$O$2,"已逾期",IF(T61-'基础参数'!$O$2&lt;=2,"红色预警",IF(T61-'基础参数'!$O$2&lt;=7,"黄色预警","正常")))))</x:f>
        <x:v>已完成</x:v>
      </x:c>
      <x:c r="AI61" s="27" t="str">
        <x:v>无异常</x:v>
      </x:c>
      <x:c r="AJ61" s="27" t="str">
        <x:v>-</x:v>
      </x:c>
      <x:c r="AK61" s="75" t="str">
        <x:f>IFERROR(VLOOKUP(AI61,'基础参数'!$N$5:$S$19,4,FALSE),"-")</x:f>
        <x:v>-</x:v>
      </x:c>
      <x:c r="AL61" s="33"/>
      <x:c r="AM61" s="27" t="str">
        <x:v>不适用</x:v>
      </x:c>
      <x:c r="AN61" s="27" t="str">
        <x:v>无异常</x:v>
      </x:c>
      <x:c r="AO61" s="69" t="str"/>
      <x:c r="AP61" s="69" t="str"/>
      <x:c r="AQ61" s="75" t="str">
        <x:f>IF(X61="","",IF(X61&lt;=W61,"是","否"))</x:f>
        <x:v>是</x:v>
      </x:c>
      <x:c r="AR61" s="75" t="str">
        <x:f>IFERROR(VLOOKUP(AI61,'基础参数'!$N$5:$S$19,2,FALSE),"无异常")</x:f>
        <x:v>无异常</x:v>
      </x:c>
    </x:row>
    <x:row r="62" ht="34" customHeight="1">
      <x:c r="A62" s="49" t="str">
        <x:v>PO-26-057</x:v>
      </x:c>
      <x:c r="B62" s="50" t="n">
        <x:v>46123</x:v>
      </x:c>
      <x:c r="C62" s="72" t="str">
        <x:v>C014</x:v>
      </x:c>
      <x:c r="D62" s="75" t="str">
        <x:f>IFERROR(VLOOKUP(C62,'基础参数'!$A$5:$E$22,2,FALSE),"")</x:f>
        <x:v>Kiwi Trek Ltd.</x:v>
      </x:c>
      <x:c r="E62" s="75" t="str">
        <x:f>IFERROR(VLOOKUP(C62,'基础参数'!$A$5:$E$22,3,FALSE),"")</x:f>
        <x:v>新西兰</x:v>
      </x:c>
      <x:c r="F62" s="75" t="str">
        <x:f>IFERROR(VLOOKUP(C62,'基础参数'!$A$5:$E$22,4,FALSE),"")</x:f>
        <x:v>澳洲</x:v>
      </x:c>
      <x:c r="G62" s="72" t="str">
        <x:v>STV-260</x:v>
      </x:c>
      <x:c r="H62" s="75" t="str">
        <x:f>IFERROR(VLOOKUP(G62,'基础参数'!$G$5:$L$16,2,FALSE),"")</x:f>
        <x:v>便携卡式炉</x:v>
      </x:c>
      <x:c r="I62" s="75" t="str">
        <x:f>IFERROR(VLOOKUP(G62,'基础参数'!$G$5:$L$16,3,FALSE),"")</x:f>
        <x:v>户外炊具</x:v>
      </x:c>
      <x:c r="J62" s="58" t="n">
        <x:v>850</x:v>
      </x:c>
      <x:c r="K62" s="59" t="n">
        <x:v>34.04</x:v>
      </x:c>
      <x:c r="L62" s="60" t="str">
        <x:v>USD</x:v>
      </x:c>
      <x:c r="M62" s="78" t="n">
        <x:f>J62*K62</x:f>
        <x:v>28934</x:v>
      </x:c>
      <x:c r="N62" s="60" t="str">
        <x:v>FOB</x:v>
      </x:c>
      <x:c r="O62" s="60" t="str">
        <x:v>空运</x:v>
      </x:c>
      <x:c r="P62" s="60" t="str">
        <x:v>DHL Global Forwarding</x:v>
      </x:c>
      <x:c r="Q62" s="60" t="str">
        <x:v>已收款</x:v>
      </x:c>
      <x:c r="R62" s="62" t="n">
        <x:v>46153</x:v>
      </x:c>
      <x:c r="S62" s="62" t="n">
        <x:v>46165</x:v>
      </x:c>
      <x:c r="T62" s="62" t="n">
        <x:v>46157</x:v>
      </x:c>
      <x:c r="U62" s="62" t="n">
        <x:v>46168</x:v>
      </x:c>
      <x:c r="V62" s="62" t="n">
        <x:v>46169</x:v>
      </x:c>
      <x:c r="W62" s="62" t="n">
        <x:v>46177</x:v>
      </x:c>
      <x:c r="X62" s="62" t="n">
        <x:v>46176</x:v>
      </x:c>
      <x:c r="Y62" s="60" t="str">
        <x:v>已签收</x:v>
      </x:c>
      <x:c r="Z62" s="60" t="str">
        <x:v>已签收</x:v>
      </x:c>
      <x:c r="AA62" s="60" t="str">
        <x:v>已完成</x:v>
      </x:c>
      <x:c r="AB62" s="60" t="str">
        <x:v>已完成</x:v>
      </x:c>
      <x:c r="AC62" s="60" t="str">
        <x:v>已完成</x:v>
      </x:c>
      <x:c r="AD62" s="60" t="str">
        <x:v>已完成</x:v>
      </x:c>
      <x:c r="AE62" s="60" t="str">
        <x:v>已完成</x:v>
      </x:c>
      <x:c r="AF62" s="81" t="n">
        <x:f>COUNTIF(AA62:AE62,"已完成")/5</x:f>
        <x:v>1</x:v>
      </x:c>
      <x:c r="AG62" s="75" t="str">
        <x:f>IF(U62&lt;&gt;"","",T62-'基础参数'!$O$2)</x:f>
      </x:c>
      <x:c r="AH62" s="75" t="str">
        <x:f>IF(X62&lt;&gt;"","已完成",IF(U62&lt;&gt;"",IF(U62&gt;T62,"延迟出库","运输中"),IF(T62&lt;'基础参数'!$O$2,"已逾期",IF(T62-'基础参数'!$O$2&lt;=2,"红色预警",IF(T62-'基础参数'!$O$2&lt;=7,"黄色预警","正常")))))</x:f>
        <x:v>已完成</x:v>
      </x:c>
      <x:c r="AI62" s="27" t="str">
        <x:v>数量短装</x:v>
      </x:c>
      <x:c r="AJ62" s="27" t="str">
        <x:v>B级</x:v>
      </x:c>
      <x:c r="AK62" s="75" t="str">
        <x:f>IFERROR(VLOOKUP(AI62,'基础参数'!$N$5:$S$19,4,FALSE),"-")</x:f>
        <x:v>仓储主管</x:v>
      </x:c>
      <x:c r="AL62" s="33" t="n">
        <x:v>46155</x:v>
      </x:c>
      <x:c r="AM62" s="27" t="str">
        <x:v>已通知</x:v>
      </x:c>
      <x:c r="AN62" s="27" t="str">
        <x:v>已关闭</x:v>
      </x:c>
      <x:c r="AO62" s="69" t="str">
        <x:v>数量短装导致计划节点存在一般偏差</x:v>
      </x:c>
      <x:c r="AP62" s="69" t="str">
        <x:v>已完成补救并取得客户确认</x:v>
      </x:c>
      <x:c r="AQ62" s="75" t="str">
        <x:f>IF(X62="","",IF(X62&lt;=W62,"是","否"))</x:f>
        <x:v>是</x:v>
      </x:c>
      <x:c r="AR62" s="75" t="str">
        <x:f>IFERROR(VLOOKUP(AI62,'基础参数'!$N$5:$S$19,2,FALSE),"无异常")</x:f>
        <x:v>生产与备货</x:v>
      </x:c>
    </x:row>
    <x:row r="63" ht="34" customHeight="1">
      <x:c r="A63" s="49" t="str">
        <x:v>PO-26-058</x:v>
      </x:c>
      <x:c r="B63" s="50" t="n">
        <x:v>46124</x:v>
      </x:c>
      <x:c r="C63" s="72" t="str">
        <x:v>C001</x:v>
      </x:c>
      <x:c r="D63" s="75" t="str">
        <x:f>IFERROR(VLOOKUP(C63,'基础参数'!$A$5:$E$22,2,FALSE),"")</x:f>
        <x:v>NordTrail GmbH</x:v>
      </x:c>
      <x:c r="E63" s="75" t="str">
        <x:f>IFERROR(VLOOKUP(C63,'基础参数'!$A$5:$E$22,3,FALSE),"")</x:f>
        <x:v>德国</x:v>
      </x:c>
      <x:c r="F63" s="75" t="str">
        <x:f>IFERROR(VLOOKUP(C63,'基础参数'!$A$5:$E$22,4,FALSE),"")</x:f>
        <x:v>欧洲</x:v>
      </x:c>
      <x:c r="G63" s="72" t="str">
        <x:v>TBL-220</x:v>
      </x:c>
      <x:c r="H63" s="75" t="str">
        <x:f>IFERROR(VLOOKUP(G63,'基础参数'!$G$5:$L$16,2,FALSE),"")</x:f>
        <x:v>便携折叠桌</x:v>
      </x:c>
      <x:c r="I63" s="75" t="str">
        <x:f>IFERROR(VLOOKUP(G63,'基础参数'!$G$5:$L$16,3,FALSE),"")</x:f>
        <x:v>折叠家具</x:v>
      </x:c>
      <x:c r="J63" s="58" t="n">
        <x:v>2350</x:v>
      </x:c>
      <x:c r="K63" s="59" t="n">
        <x:v>42.79</x:v>
      </x:c>
      <x:c r="L63" s="60" t="str">
        <x:v>EUR</x:v>
      </x:c>
      <x:c r="M63" s="78" t="n">
        <x:f>J63*K63</x:f>
        <x:v>100556.5</x:v>
      </x:c>
      <x:c r="N63" s="60" t="str">
        <x:v>FOB</x:v>
      </x:c>
      <x:c r="O63" s="60" t="str">
        <x:v>海运</x:v>
      </x:c>
      <x:c r="P63" s="60" t="str">
        <x:v>Maersk</x:v>
      </x:c>
      <x:c r="Q63" s="60" t="str">
        <x:v>已收款</x:v>
      </x:c>
      <x:c r="R63" s="62" t="n">
        <x:v>46151</x:v>
      </x:c>
      <x:c r="S63" s="62" t="n">
        <x:v>46152</x:v>
      </x:c>
      <x:c r="T63" s="62" t="n">
        <x:v>46155</x:v>
      </x:c>
      <x:c r="U63" s="62" t="n">
        <x:v>46157</x:v>
      </x:c>
      <x:c r="V63" s="62" t="n">
        <x:v>46158</x:v>
      </x:c>
      <x:c r="W63" s="62" t="n">
        <x:v>46190</x:v>
      </x:c>
      <x:c r="X63" s="62" t="n">
        <x:v>46188</x:v>
      </x:c>
      <x:c r="Y63" s="60" t="str">
        <x:v>已签收</x:v>
      </x:c>
      <x:c r="Z63" s="60" t="str">
        <x:v>已签收</x:v>
      </x:c>
      <x:c r="AA63" s="60" t="str">
        <x:v>已完成</x:v>
      </x:c>
      <x:c r="AB63" s="60" t="str">
        <x:v>已完成</x:v>
      </x:c>
      <x:c r="AC63" s="60" t="str">
        <x:v>已完成</x:v>
      </x:c>
      <x:c r="AD63" s="60" t="str">
        <x:v>已完成</x:v>
      </x:c>
      <x:c r="AE63" s="60" t="str">
        <x:v>已完成</x:v>
      </x:c>
      <x:c r="AF63" s="81" t="n">
        <x:f>COUNTIF(AA63:AE63,"已完成")/5</x:f>
        <x:v>1</x:v>
      </x:c>
      <x:c r="AG63" s="75" t="str">
        <x:f>IF(U63&lt;&gt;"","",T63-'基础参数'!$O$2)</x:f>
      </x:c>
      <x:c r="AH63" s="75" t="str">
        <x:f>IF(X63&lt;&gt;"","已完成",IF(U63&lt;&gt;"",IF(U63&gt;T63,"延迟出库","运输中"),IF(T63&lt;'基础参数'!$O$2,"已逾期",IF(T63-'基础参数'!$O$2&lt;=2,"红色预警",IF(T63-'基础参数'!$O$2&lt;=7,"黄色预警","正常")))))</x:f>
        <x:v>已完成</x:v>
      </x:c>
      <x:c r="AI63" s="27" t="str">
        <x:v>无异常</x:v>
      </x:c>
      <x:c r="AJ63" s="27" t="str">
        <x:v>-</x:v>
      </x:c>
      <x:c r="AK63" s="75" t="str">
        <x:f>IFERROR(VLOOKUP(AI63,'基础参数'!$N$5:$S$19,4,FALSE),"-")</x:f>
        <x:v>-</x:v>
      </x:c>
      <x:c r="AL63" s="33"/>
      <x:c r="AM63" s="27" t="str">
        <x:v>不适用</x:v>
      </x:c>
      <x:c r="AN63" s="27" t="str">
        <x:v>无异常</x:v>
      </x:c>
      <x:c r="AO63" s="69" t="str"/>
      <x:c r="AP63" s="69" t="str"/>
      <x:c r="AQ63" s="75" t="str">
        <x:f>IF(X63="","",IF(X63&lt;=W63,"是","否"))</x:f>
        <x:v>是</x:v>
      </x:c>
      <x:c r="AR63" s="75" t="str">
        <x:f>IFERROR(VLOOKUP(AI63,'基础参数'!$N$5:$S$19,2,FALSE),"无异常")</x:f>
        <x:v>无异常</x:v>
      </x:c>
    </x:row>
    <x:row r="64" ht="34" customHeight="1">
      <x:c r="A64" s="49" t="str">
        <x:v>PO-26-059</x:v>
      </x:c>
      <x:c r="B64" s="50" t="n">
        <x:v>46126</x:v>
      </x:c>
      <x:c r="C64" s="72" t="str">
        <x:v>C005</x:v>
      </x:c>
      <x:c r="D64" s="75" t="str">
        <x:f>IFERROR(VLOOKUP(C64,'基础参数'!$A$5:$E$22,2,FALSE),"")</x:f>
        <x:v>Terra Outdoor SRL</x:v>
      </x:c>
      <x:c r="E64" s="75" t="str">
        <x:f>IFERROR(VLOOKUP(C64,'基础参数'!$A$5:$E$22,3,FALSE),"")</x:f>
        <x:v>意大利</x:v>
      </x:c>
      <x:c r="F64" s="75" t="str">
        <x:f>IFERROR(VLOOKUP(C64,'基础参数'!$A$5:$E$22,4,FALSE),"")</x:f>
        <x:v>欧洲</x:v>
      </x:c>
      <x:c r="G64" s="72" t="str">
        <x:v>CKT-150</x:v>
      </x:c>
      <x:c r="H64" s="75" t="str">
        <x:f>IFERROR(VLOOKUP(G64,'基础参数'!$G$5:$L$16,2,FALSE),"")</x:f>
        <x:v>不锈钢炊具套装</x:v>
      </x:c>
      <x:c r="I64" s="75" t="str">
        <x:f>IFERROR(VLOOKUP(G64,'基础参数'!$G$5:$L$16,3,FALSE),"")</x:f>
        <x:v>户外炊具</x:v>
      </x:c>
      <x:c r="J64" s="58" t="n">
        <x:v>850</x:v>
      </x:c>
      <x:c r="K64" s="59" t="n">
        <x:v>31.27</x:v>
      </x:c>
      <x:c r="L64" s="60" t="str">
        <x:v>EUR</x:v>
      </x:c>
      <x:c r="M64" s="78" t="n">
        <x:f>J64*K64</x:f>
        <x:v>26579.5</x:v>
      </x:c>
      <x:c r="N64" s="60" t="str">
        <x:v>CIF</x:v>
      </x:c>
      <x:c r="O64" s="60" t="str">
        <x:v>空运</x:v>
      </x:c>
      <x:c r="P64" s="60" t="str">
        <x:v>Kuehne+Nagel</x:v>
      </x:c>
      <x:c r="Q64" s="60" t="str">
        <x:v>已收款</x:v>
      </x:c>
      <x:c r="R64" s="62" t="n">
        <x:v>46152</x:v>
      </x:c>
      <x:c r="S64" s="62" t="n">
        <x:v>46153</x:v>
      </x:c>
      <x:c r="T64" s="62" t="n">
        <x:v>46156</x:v>
      </x:c>
      <x:c r="U64" s="62" t="n">
        <x:v>46156</x:v>
      </x:c>
      <x:c r="V64" s="62" t="n">
        <x:v>46157</x:v>
      </x:c>
      <x:c r="W64" s="62" t="n">
        <x:v>46165</x:v>
      </x:c>
      <x:c r="X64" s="62" t="n">
        <x:v>46164</x:v>
      </x:c>
      <x:c r="Y64" s="60" t="str">
        <x:v>已签收</x:v>
      </x:c>
      <x:c r="Z64" s="60" t="str">
        <x:v>已签收</x:v>
      </x:c>
      <x:c r="AA64" s="60" t="str">
        <x:v>已完成</x:v>
      </x:c>
      <x:c r="AB64" s="60" t="str">
        <x:v>已完成</x:v>
      </x:c>
      <x:c r="AC64" s="60" t="str">
        <x:v>已完成</x:v>
      </x:c>
      <x:c r="AD64" s="60" t="str">
        <x:v>已完成</x:v>
      </x:c>
      <x:c r="AE64" s="60" t="str">
        <x:v>已完成</x:v>
      </x:c>
      <x:c r="AF64" s="81" t="n">
        <x:f>COUNTIF(AA64:AE64,"已完成")/5</x:f>
        <x:v>1</x:v>
      </x:c>
      <x:c r="AG64" s="75" t="str">
        <x:f>IF(U64&lt;&gt;"","",T64-'基础参数'!$O$2)</x:f>
      </x:c>
      <x:c r="AH64" s="75" t="str">
        <x:f>IF(X64&lt;&gt;"","已完成",IF(U64&lt;&gt;"",IF(U64&gt;T64,"延迟出库","运输中"),IF(T64&lt;'基础参数'!$O$2,"已逾期",IF(T64-'基础参数'!$O$2&lt;=2,"红色预警",IF(T64-'基础参数'!$O$2&lt;=7,"黄色预警","正常")))))</x:f>
        <x:v>已完成</x:v>
      </x:c>
      <x:c r="AI64" s="27" t="str">
        <x:v>无异常</x:v>
      </x:c>
      <x:c r="AJ64" s="27" t="str">
        <x:v>-</x:v>
      </x:c>
      <x:c r="AK64" s="75" t="str">
        <x:f>IFERROR(VLOOKUP(AI64,'基础参数'!$N$5:$S$19,4,FALSE),"-")</x:f>
        <x:v>-</x:v>
      </x:c>
      <x:c r="AL64" s="33"/>
      <x:c r="AM64" s="27" t="str">
        <x:v>不适用</x:v>
      </x:c>
      <x:c r="AN64" s="27" t="str">
        <x:v>无异常</x:v>
      </x:c>
      <x:c r="AO64" s="69" t="str"/>
      <x:c r="AP64" s="69" t="str"/>
      <x:c r="AQ64" s="75" t="str">
        <x:f>IF(X64="","",IF(X64&lt;=W64,"是","否"))</x:f>
        <x:v>是</x:v>
      </x:c>
      <x:c r="AR64" s="75" t="str">
        <x:f>IFERROR(VLOOKUP(AI64,'基础参数'!$N$5:$S$19,2,FALSE),"无异常")</x:f>
        <x:v>无异常</x:v>
      </x:c>
    </x:row>
    <x:row r="65" ht="34" customHeight="1">
      <x:c r="A65" s="49" t="str">
        <x:v>PO-26-060</x:v>
      </x:c>
      <x:c r="B65" s="50" t="n">
        <x:v>46128</x:v>
      </x:c>
      <x:c r="C65" s="72" t="str">
        <x:v>C008</x:v>
      </x:c>
      <x:c r="D65" s="75" t="str">
        <x:f>IFERROR(VLOOKUP(C65,'基础参数'!$A$5:$E$22,2,FALSE),"")</x:f>
        <x:v>Camp Harbor LLC</x:v>
      </x:c>
      <x:c r="E65" s="75" t="str">
        <x:f>IFERROR(VLOOKUP(C65,'基础参数'!$A$5:$E$22,3,FALSE),"")</x:f>
        <x:v>美国</x:v>
      </x:c>
      <x:c r="F65" s="75" t="str">
        <x:f>IFERROR(VLOOKUP(C65,'基础参数'!$A$5:$E$22,4,FALSE),"")</x:f>
        <x:v>北美</x:v>
      </x:c>
      <x:c r="G65" s="72" t="str">
        <x:v>MAT-230</x:v>
      </x:c>
      <x:c r="H65" s="75" t="str">
        <x:f>IFERROR(VLOOKUP(G65,'基础参数'!$G$5:$L$16,2,FALSE),"")</x:f>
        <x:v>自充气露营垫</x:v>
      </x:c>
      <x:c r="I65" s="75" t="str">
        <x:f>IFERROR(VLOOKUP(G65,'基础参数'!$G$5:$L$16,3,FALSE),"")</x:f>
        <x:v>野餐垫</x:v>
      </x:c>
      <x:c r="J65" s="58" t="n">
        <x:v>1000</x:v>
      </x:c>
      <x:c r="K65" s="59" t="n">
        <x:v>37.56</x:v>
      </x:c>
      <x:c r="L65" s="60" t="str">
        <x:v>USD</x:v>
      </x:c>
      <x:c r="M65" s="78" t="n">
        <x:f>J65*K65</x:f>
        <x:v>37560</x:v>
      </x:c>
      <x:c r="N65" s="60" t="str">
        <x:v>FOB</x:v>
      </x:c>
      <x:c r="O65" s="60" t="str">
        <x:v>海运</x:v>
      </x:c>
      <x:c r="P65" s="60" t="str">
        <x:v>Maersk</x:v>
      </x:c>
      <x:c r="Q65" s="60" t="str">
        <x:v>已收款</x:v>
      </x:c>
      <x:c r="R65" s="62" t="n">
        <x:v>46153</x:v>
      </x:c>
      <x:c r="S65" s="62" t="n">
        <x:v>46153</x:v>
      </x:c>
      <x:c r="T65" s="62" t="n">
        <x:v>46157</x:v>
      </x:c>
      <x:c r="U65" s="62" t="n">
        <x:v>46158</x:v>
      </x:c>
      <x:c r="V65" s="62" t="n">
        <x:v>46159</x:v>
      </x:c>
      <x:c r="W65" s="62" t="n">
        <x:v>46191</x:v>
      </x:c>
      <x:c r="X65" s="62" t="n">
        <x:v>46191</x:v>
      </x:c>
      <x:c r="Y65" s="60" t="str">
        <x:v>已签收</x:v>
      </x:c>
      <x:c r="Z65" s="60" t="str">
        <x:v>已签收</x:v>
      </x:c>
      <x:c r="AA65" s="60" t="str">
        <x:v>已完成</x:v>
      </x:c>
      <x:c r="AB65" s="60" t="str">
        <x:v>已完成</x:v>
      </x:c>
      <x:c r="AC65" s="60" t="str">
        <x:v>已完成</x:v>
      </x:c>
      <x:c r="AD65" s="60" t="str">
        <x:v>已完成</x:v>
      </x:c>
      <x:c r="AE65" s="60" t="str">
        <x:v>已完成</x:v>
      </x:c>
      <x:c r="AF65" s="81" t="n">
        <x:f>COUNTIF(AA65:AE65,"已完成")/5</x:f>
        <x:v>1</x:v>
      </x:c>
      <x:c r="AG65" s="75" t="str">
        <x:f>IF(U65&lt;&gt;"","",T65-'基础参数'!$O$2)</x:f>
      </x:c>
      <x:c r="AH65" s="75" t="str">
        <x:f>IF(X65&lt;&gt;"","已完成",IF(U65&lt;&gt;"",IF(U65&gt;T65,"延迟出库","运输中"),IF(T65&lt;'基础参数'!$O$2,"已逾期",IF(T65-'基础参数'!$O$2&lt;=2,"红色预警",IF(T65-'基础参数'!$O$2&lt;=7,"黄色预警","正常")))))</x:f>
        <x:v>已完成</x:v>
      </x:c>
      <x:c r="AI65" s="27" t="str">
        <x:v>无异常</x:v>
      </x:c>
      <x:c r="AJ65" s="27" t="str">
        <x:v>-</x:v>
      </x:c>
      <x:c r="AK65" s="75" t="str">
        <x:f>IFERROR(VLOOKUP(AI65,'基础参数'!$N$5:$S$19,4,FALSE),"-")</x:f>
        <x:v>-</x:v>
      </x:c>
      <x:c r="AL65" s="33"/>
      <x:c r="AM65" s="27" t="str">
        <x:v>不适用</x:v>
      </x:c>
      <x:c r="AN65" s="27" t="str">
        <x:v>无异常</x:v>
      </x:c>
      <x:c r="AO65" s="69" t="str"/>
      <x:c r="AP65" s="69" t="str"/>
      <x:c r="AQ65" s="75" t="str">
        <x:f>IF(X65="","",IF(X65&lt;=W65,"是","否"))</x:f>
        <x:v>是</x:v>
      </x:c>
      <x:c r="AR65" s="75" t="str">
        <x:f>IFERROR(VLOOKUP(AI65,'基础参数'!$N$5:$S$19,2,FALSE),"无异常")</x:f>
        <x:v>无异常</x:v>
      </x:c>
    </x:row>
    <x:row r="66" ht="34" customHeight="1">
      <x:c r="A66" s="49" t="str">
        <x:v>PO-26-061</x:v>
      </x:c>
      <x:c r="B66" s="50" t="n">
        <x:v>46130</x:v>
      </x:c>
      <x:c r="C66" s="72" t="str">
        <x:v>C014</x:v>
      </x:c>
      <x:c r="D66" s="75" t="str">
        <x:f>IFERROR(VLOOKUP(C66,'基础参数'!$A$5:$E$22,2,FALSE),"")</x:f>
        <x:v>Kiwi Trek Ltd.</x:v>
      </x:c>
      <x:c r="E66" s="75" t="str">
        <x:f>IFERROR(VLOOKUP(C66,'基础参数'!$A$5:$E$22,3,FALSE),"")</x:f>
        <x:v>新西兰</x:v>
      </x:c>
      <x:c r="F66" s="75" t="str">
        <x:f>IFERROR(VLOOKUP(C66,'基础参数'!$A$5:$E$22,4,FALSE),"")</x:f>
        <x:v>澳洲</x:v>
      </x:c>
      <x:c r="G66" s="72" t="str">
        <x:v>TEN-410</x:v>
      </x:c>
      <x:c r="H66" s="75" t="str">
        <x:f>IFERROR(VLOOKUP(G66,'基础参数'!$G$5:$L$16,2,FALSE),"")</x:f>
        <x:v>四人家庭帐篷</x:v>
      </x:c>
      <x:c r="I66" s="75" t="str">
        <x:f>IFERROR(VLOOKUP(G66,'基础参数'!$G$5:$L$16,3,FALSE),"")</x:f>
        <x:v>帐篷</x:v>
      </x:c>
      <x:c r="J66" s="58" t="n">
        <x:v>600</x:v>
      </x:c>
      <x:c r="K66" s="59" t="n">
        <x:v>100.79</x:v>
      </x:c>
      <x:c r="L66" s="60" t="str">
        <x:v>USD</x:v>
      </x:c>
      <x:c r="M66" s="78" t="n">
        <x:f>J66*K66</x:f>
        <x:v>60474.00000000001</x:v>
      </x:c>
      <x:c r="N66" s="60" t="str">
        <x:v>FOB</x:v>
      </x:c>
      <x:c r="O66" s="60" t="str">
        <x:v>海运</x:v>
      </x:c>
      <x:c r="P66" s="60" t="str">
        <x:v>CMA CGM</x:v>
      </x:c>
      <x:c r="Q66" s="60" t="str">
        <x:v>已收款</x:v>
      </x:c>
      <x:c r="R66" s="62" t="n">
        <x:v>46168</x:v>
      </x:c>
      <x:c r="S66" s="62" t="n">
        <x:v>46169</x:v>
      </x:c>
      <x:c r="T66" s="62" t="n">
        <x:v>46172</x:v>
      </x:c>
      <x:c r="U66" s="62" t="n">
        <x:v>46174</x:v>
      </x:c>
      <x:c r="V66" s="62" t="n">
        <x:v>46175</x:v>
      </x:c>
      <x:c r="W66" s="62" t="n">
        <x:v>46207</x:v>
      </x:c>
      <x:c r="X66" s="62"/>
      <x:c r="Y66" s="60" t="str">
        <x:v>国际运输</x:v>
      </x:c>
      <x:c r="Z66" s="60" t="str">
        <x:v>运输中</x:v>
      </x:c>
      <x:c r="AA66" s="60" t="str">
        <x:v>已完成</x:v>
      </x:c>
      <x:c r="AB66" s="60" t="str">
        <x:v>已完成</x:v>
      </x:c>
      <x:c r="AC66" s="60" t="str">
        <x:v>已完成</x:v>
      </x:c>
      <x:c r="AD66" s="60" t="str">
        <x:v>已完成</x:v>
      </x:c>
      <x:c r="AE66" s="60" t="str">
        <x:v>已完成</x:v>
      </x:c>
      <x:c r="AF66" s="81" t="n">
        <x:f>COUNTIF(AA66:AE66,"已完成")/5</x:f>
        <x:v>1</x:v>
      </x:c>
      <x:c r="AG66" s="75" t="str">
        <x:f>IF(U66&lt;&gt;"","",T66-'基础参数'!$O$2)</x:f>
      </x:c>
      <x:c r="AH66" s="75" t="str">
        <x:f>IF(X66&lt;&gt;"","已完成",IF(U66&lt;&gt;"",IF(U66&gt;T66,"延迟出库","运输中"),IF(T66&lt;'基础参数'!$O$2,"已逾期",IF(T66-'基础参数'!$O$2&lt;=2,"红色预警",IF(T66-'基础参数'!$O$2&lt;=7,"黄色预警","正常")))))</x:f>
        <x:v>延迟出库</x:v>
      </x:c>
      <x:c r="AI66" s="27" t="str">
        <x:v>清关异常</x:v>
      </x:c>
      <x:c r="AJ66" s="27" t="str">
        <x:v>A级</x:v>
      </x:c>
      <x:c r="AK66" s="75" t="str">
        <x:f>IFERROR(VLOOKUP(AI66,'基础参数'!$N$5:$S$19,4,FALSE),"-")</x:f>
        <x:v>外贸跟单</x:v>
      </x:c>
      <x:c r="AL66" s="33" t="n">
        <x:v>46170</x:v>
      </x:c>
      <x:c r="AM66" s="27" t="str">
        <x:v>已通知</x:v>
      </x:c>
      <x:c r="AN66" s="27" t="str">
        <x:v>已关闭</x:v>
      </x:c>
      <x:c r="AO66" s="69" t="str">
        <x:v>清关异常导致计划节点存在重大偏差</x:v>
      </x:c>
      <x:c r="AP66" s="69" t="str">
        <x:v>已完成补救并取得客户确认</x:v>
      </x:c>
      <x:c r="AQ66" s="75" t="str">
        <x:f>IF(X66="","",IF(X66&lt;=W66,"是","否"))</x:f>
      </x:c>
      <x:c r="AR66" s="75" t="str">
        <x:f>IFERROR(VLOOKUP(AI66,'基础参数'!$N$5:$S$19,2,FALSE),"无异常")</x:f>
        <x:v>目的国与签收</x:v>
      </x:c>
    </x:row>
    <x:row r="67" ht="34" customHeight="1">
      <x:c r="A67" s="49" t="str">
        <x:v>PO-26-062</x:v>
      </x:c>
      <x:c r="B67" s="50" t="n">
        <x:v>46131</x:v>
      </x:c>
      <x:c r="C67" s="72" t="str">
        <x:v>C018</x:v>
      </x:c>
      <x:c r="D67" s="75" t="str">
        <x:f>IFERROR(VLOOKUP(C67,'基础参数'!$A$5:$E$22,2,FALSE),"")</x:f>
        <x:v>Lion City Gear</x:v>
      </x:c>
      <x:c r="E67" s="75" t="str">
        <x:f>IFERROR(VLOOKUP(C67,'基础参数'!$A$5:$E$22,3,FALSE),"")</x:f>
        <x:v>新加坡</x:v>
      </x:c>
      <x:c r="F67" s="75" t="str">
        <x:f>IFERROR(VLOOKUP(C67,'基础参数'!$A$5:$E$22,4,FALSE),"")</x:f>
        <x:v>亚洲</x:v>
      </x:c>
      <x:c r="G67" s="72" t="str">
        <x:v>MAT-230</x:v>
      </x:c>
      <x:c r="H67" s="75" t="str">
        <x:f>IFERROR(VLOOKUP(G67,'基础参数'!$G$5:$L$16,2,FALSE),"")</x:f>
        <x:v>自充气露营垫</x:v>
      </x:c>
      <x:c r="I67" s="75" t="str">
        <x:f>IFERROR(VLOOKUP(G67,'基础参数'!$G$5:$L$16,3,FALSE),"")</x:f>
        <x:v>野餐垫</x:v>
      </x:c>
      <x:c r="J67" s="58" t="n">
        <x:v>2350</x:v>
      </x:c>
      <x:c r="K67" s="59" t="n">
        <x:v>40.82</x:v>
      </x:c>
      <x:c r="L67" s="60" t="str">
        <x:v>USD</x:v>
      </x:c>
      <x:c r="M67" s="78" t="n">
        <x:f>J67*K67</x:f>
        <x:v>95927</x:v>
      </x:c>
      <x:c r="N67" s="60" t="str">
        <x:v>FOB</x:v>
      </x:c>
      <x:c r="O67" s="60" t="str">
        <x:v>空运</x:v>
      </x:c>
      <x:c r="P67" s="60" t="str">
        <x:v>DHL Global Forwarding</x:v>
      </x:c>
      <x:c r="Q67" s="60" t="str">
        <x:v>已收款</x:v>
      </x:c>
      <x:c r="R67" s="62" t="n">
        <x:v>46156</x:v>
      </x:c>
      <x:c r="S67" s="62" t="n">
        <x:v>46155</x:v>
      </x:c>
      <x:c r="T67" s="62" t="n">
        <x:v>46160</x:v>
      </x:c>
      <x:c r="U67" s="62" t="n">
        <x:v>46159</x:v>
      </x:c>
      <x:c r="V67" s="62" t="n">
        <x:v>46160</x:v>
      </x:c>
      <x:c r="W67" s="62" t="n">
        <x:v>46168</x:v>
      </x:c>
      <x:c r="X67" s="62" t="n">
        <x:v>46166</x:v>
      </x:c>
      <x:c r="Y67" s="60" t="str">
        <x:v>已签收</x:v>
      </x:c>
      <x:c r="Z67" s="60" t="str">
        <x:v>已签收</x:v>
      </x:c>
      <x:c r="AA67" s="60" t="str">
        <x:v>已完成</x:v>
      </x:c>
      <x:c r="AB67" s="60" t="str">
        <x:v>已完成</x:v>
      </x:c>
      <x:c r="AC67" s="60" t="str">
        <x:v>已完成</x:v>
      </x:c>
      <x:c r="AD67" s="60" t="str">
        <x:v>已完成</x:v>
      </x:c>
      <x:c r="AE67" s="60" t="str">
        <x:v>已完成</x:v>
      </x:c>
      <x:c r="AF67" s="81" t="n">
        <x:f>COUNTIF(AA67:AE67,"已完成")/5</x:f>
        <x:v>1</x:v>
      </x:c>
      <x:c r="AG67" s="75" t="str">
        <x:f>IF(U67&lt;&gt;"","",T67-'基础参数'!$O$2)</x:f>
      </x:c>
      <x:c r="AH67" s="75" t="str">
        <x:f>IF(X67&lt;&gt;"","已完成",IF(U67&lt;&gt;"",IF(U67&gt;T67,"延迟出库","运输中"),IF(T67&lt;'基础参数'!$O$2,"已逾期",IF(T67-'基础参数'!$O$2&lt;=2,"红色预警",IF(T67-'基础参数'!$O$2&lt;=7,"黄色预警","正常")))))</x:f>
        <x:v>已完成</x:v>
      </x:c>
      <x:c r="AI67" s="27" t="str">
        <x:v>无异常</x:v>
      </x:c>
      <x:c r="AJ67" s="27" t="str">
        <x:v>-</x:v>
      </x:c>
      <x:c r="AK67" s="75" t="str">
        <x:f>IFERROR(VLOOKUP(AI67,'基础参数'!$N$5:$S$19,4,FALSE),"-")</x:f>
        <x:v>-</x:v>
      </x:c>
      <x:c r="AL67" s="33"/>
      <x:c r="AM67" s="27" t="str">
        <x:v>不适用</x:v>
      </x:c>
      <x:c r="AN67" s="27" t="str">
        <x:v>无异常</x:v>
      </x:c>
      <x:c r="AO67" s="69" t="str"/>
      <x:c r="AP67" s="69" t="str"/>
      <x:c r="AQ67" s="75" t="str">
        <x:f>IF(X67="","",IF(X67&lt;=W67,"是","否"))</x:f>
        <x:v>是</x:v>
      </x:c>
      <x:c r="AR67" s="75" t="str">
        <x:f>IFERROR(VLOOKUP(AI67,'基础参数'!$N$5:$S$19,2,FALSE),"无异常")</x:f>
        <x:v>无异常</x:v>
      </x:c>
    </x:row>
    <x:row r="68" ht="34" customHeight="1">
      <x:c r="A68" s="49" t="str">
        <x:v>PO-26-063</x:v>
      </x:c>
      <x:c r="B68" s="50" t="n">
        <x:v>46133</x:v>
      </x:c>
      <x:c r="C68" s="72" t="str">
        <x:v>C006</x:v>
      </x:c>
      <x:c r="D68" s="75" t="str">
        <x:f>IFERROR(VLOOKUP(C68,'基础参数'!$A$5:$E$22,2,FALSE),"")</x:f>
        <x:v>Iberia Trek SL</x:v>
      </x:c>
      <x:c r="E68" s="75" t="str">
        <x:f>IFERROR(VLOOKUP(C68,'基础参数'!$A$5:$E$22,3,FALSE),"")</x:f>
        <x:v>西班牙</x:v>
      </x:c>
      <x:c r="F68" s="75" t="str">
        <x:f>IFERROR(VLOOKUP(C68,'基础参数'!$A$5:$E$22,4,FALSE),"")</x:f>
        <x:v>欧洲</x:v>
      </x:c>
      <x:c r="G68" s="72" t="str">
        <x:v>CHR-110</x:v>
      </x:c>
      <x:c r="H68" s="75" t="str">
        <x:f>IFERROR(VLOOKUP(G68,'基础参数'!$G$5:$L$16,2,FALSE),"")</x:f>
        <x:v>铝合金折叠椅</x:v>
      </x:c>
      <x:c r="I68" s="75" t="str">
        <x:f>IFERROR(VLOOKUP(G68,'基础参数'!$G$5:$L$16,3,FALSE),"")</x:f>
        <x:v>折叠家具</x:v>
      </x:c>
      <x:c r="J68" s="58" t="n">
        <x:v>1150</x:v>
      </x:c>
      <x:c r="K68" s="59" t="n">
        <x:v>22.7</x:v>
      </x:c>
      <x:c r="L68" s="60" t="str">
        <x:v>EUR</x:v>
      </x:c>
      <x:c r="M68" s="78" t="n">
        <x:f>J68*K68</x:f>
        <x:v>26105</x:v>
      </x:c>
      <x:c r="N68" s="60" t="str">
        <x:v>CIF</x:v>
      </x:c>
      <x:c r="O68" s="60" t="str">
        <x:v>国际快递</x:v>
      </x:c>
      <x:c r="P68" s="60" t="str">
        <x:v>DHL Express</x:v>
      </x:c>
      <x:c r="Q68" s="60" t="str">
        <x:v>已收款</x:v>
      </x:c>
      <x:c r="R68" s="62" t="n">
        <x:v>46157</x:v>
      </x:c>
      <x:c r="S68" s="62" t="n">
        <x:v>46158</x:v>
      </x:c>
      <x:c r="T68" s="62" t="n">
        <x:v>46161</x:v>
      </x:c>
      <x:c r="U68" s="62" t="n">
        <x:v>46161</x:v>
      </x:c>
      <x:c r="V68" s="62" t="n">
        <x:v>46162</x:v>
      </x:c>
      <x:c r="W68" s="62" t="n">
        <x:v>46167</x:v>
      </x:c>
      <x:c r="X68" s="62" t="n">
        <x:v>46165</x:v>
      </x:c>
      <x:c r="Y68" s="60" t="str">
        <x:v>已签收</x:v>
      </x:c>
      <x:c r="Z68" s="60" t="str">
        <x:v>已签收</x:v>
      </x:c>
      <x:c r="AA68" s="60" t="str">
        <x:v>已完成</x:v>
      </x:c>
      <x:c r="AB68" s="60" t="str">
        <x:v>已完成</x:v>
      </x:c>
      <x:c r="AC68" s="60" t="str">
        <x:v>已完成</x:v>
      </x:c>
      <x:c r="AD68" s="60" t="str">
        <x:v>已完成</x:v>
      </x:c>
      <x:c r="AE68" s="60" t="str">
        <x:v>已完成</x:v>
      </x:c>
      <x:c r="AF68" s="81" t="n">
        <x:f>COUNTIF(AA68:AE68,"已完成")/5</x:f>
        <x:v>1</x:v>
      </x:c>
      <x:c r="AG68" s="75" t="str">
        <x:f>IF(U68&lt;&gt;"","",T68-'基础参数'!$O$2)</x:f>
      </x:c>
      <x:c r="AH68" s="75" t="str">
        <x:f>IF(X68&lt;&gt;"","已完成",IF(U68&lt;&gt;"",IF(U68&gt;T68,"延迟出库","运输中"),IF(T68&lt;'基础参数'!$O$2,"已逾期",IF(T68-'基础参数'!$O$2&lt;=2,"红色预警",IF(T68-'基础参数'!$O$2&lt;=7,"黄色预警","正常")))))</x:f>
        <x:v>已完成</x:v>
      </x:c>
      <x:c r="AI68" s="27" t="str">
        <x:v>无异常</x:v>
      </x:c>
      <x:c r="AJ68" s="27" t="str">
        <x:v>-</x:v>
      </x:c>
      <x:c r="AK68" s="75" t="str">
        <x:f>IFERROR(VLOOKUP(AI68,'基础参数'!$N$5:$S$19,4,FALSE),"-")</x:f>
        <x:v>-</x:v>
      </x:c>
      <x:c r="AL68" s="33"/>
      <x:c r="AM68" s="27" t="str">
        <x:v>不适用</x:v>
      </x:c>
      <x:c r="AN68" s="27" t="str">
        <x:v>无异常</x:v>
      </x:c>
      <x:c r="AO68" s="69" t="str"/>
      <x:c r="AP68" s="69" t="str"/>
      <x:c r="AQ68" s="75" t="str">
        <x:f>IF(X68="","",IF(X68&lt;=W68,"是","否"))</x:f>
        <x:v>是</x:v>
      </x:c>
      <x:c r="AR68" s="75" t="str">
        <x:f>IFERROR(VLOOKUP(AI68,'基础参数'!$N$5:$S$19,2,FALSE),"无异常")</x:f>
        <x:v>无异常</x:v>
      </x:c>
    </x:row>
    <x:row r="69" ht="34" customHeight="1">
      <x:c r="A69" s="49" t="str">
        <x:v>PO-26-064</x:v>
      </x:c>
      <x:c r="B69" s="50" t="n">
        <x:v>46135</x:v>
      </x:c>
      <x:c r="C69" s="72" t="str">
        <x:v>C012</x:v>
      </x:c>
      <x:c r="D69" s="75" t="str">
        <x:f>IFERROR(VLOOKUP(C69,'基础参数'!$A$5:$E$22,2,FALSE),"")</x:f>
        <x:v>Outback Living Pty</x:v>
      </x:c>
      <x:c r="E69" s="75" t="str">
        <x:f>IFERROR(VLOOKUP(C69,'基础参数'!$A$5:$E$22,3,FALSE),"")</x:f>
        <x:v>澳大利亚</x:v>
      </x:c>
      <x:c r="F69" s="75" t="str">
        <x:f>IFERROR(VLOOKUP(C69,'基础参数'!$A$5:$E$22,4,FALSE),"")</x:f>
        <x:v>澳洲</x:v>
      </x:c>
      <x:c r="G69" s="72" t="str">
        <x:v>STV-260</x:v>
      </x:c>
      <x:c r="H69" s="75" t="str">
        <x:f>IFERROR(VLOOKUP(G69,'基础参数'!$G$5:$L$16,2,FALSE),"")</x:f>
        <x:v>便携卡式炉</x:v>
      </x:c>
      <x:c r="I69" s="75" t="str">
        <x:f>IFERROR(VLOOKUP(G69,'基础参数'!$G$5:$L$16,3,FALSE),"")</x:f>
        <x:v>户外炊具</x:v>
      </x:c>
      <x:c r="J69" s="58" t="n">
        <x:v>1200</x:v>
      </x:c>
      <x:c r="K69" s="59" t="n">
        <x:v>34.51</x:v>
      </x:c>
      <x:c r="L69" s="60" t="str">
        <x:v>USD</x:v>
      </x:c>
      <x:c r="M69" s="78" t="n">
        <x:f>J69*K69</x:f>
        <x:v>41412</x:v>
      </x:c>
      <x:c r="N69" s="60" t="str">
        <x:v>FOB</x:v>
      </x:c>
      <x:c r="O69" s="60" t="str">
        <x:v>海运</x:v>
      </x:c>
      <x:c r="P69" s="60" t="str">
        <x:v>ONE</x:v>
      </x:c>
      <x:c r="Q69" s="60" t="str">
        <x:v>已收款</x:v>
      </x:c>
      <x:c r="R69" s="62" t="n">
        <x:v>46165</x:v>
      </x:c>
      <x:c r="S69" s="62" t="n">
        <x:v>46164</x:v>
      </x:c>
      <x:c r="T69" s="62" t="n">
        <x:v>46169</x:v>
      </x:c>
      <x:c r="U69" s="62" t="n">
        <x:v>46169</x:v>
      </x:c>
      <x:c r="V69" s="62" t="n">
        <x:v>46170</x:v>
      </x:c>
      <x:c r="W69" s="62" t="n">
        <x:v>46202</x:v>
      </x:c>
      <x:c r="X69" s="62"/>
      <x:c r="Y69" s="60" t="str">
        <x:v>国际运输</x:v>
      </x:c>
      <x:c r="Z69" s="60" t="str">
        <x:v>运输中</x:v>
      </x:c>
      <x:c r="AA69" s="60" t="str">
        <x:v>已完成</x:v>
      </x:c>
      <x:c r="AB69" s="60" t="str">
        <x:v>已完成</x:v>
      </x:c>
      <x:c r="AC69" s="60" t="str">
        <x:v>已完成</x:v>
      </x:c>
      <x:c r="AD69" s="60" t="str">
        <x:v>已完成</x:v>
      </x:c>
      <x:c r="AE69" s="60" t="str">
        <x:v>已完成</x:v>
      </x:c>
      <x:c r="AF69" s="81" t="n">
        <x:f>COUNTIF(AA69:AE69,"已完成")/5</x:f>
        <x:v>1</x:v>
      </x:c>
      <x:c r="AG69" s="75" t="str">
        <x:f>IF(U69&lt;&gt;"","",T69-'基础参数'!$O$2)</x:f>
      </x:c>
      <x:c r="AH69" s="75" t="str">
        <x:f>IF(X69&lt;&gt;"","已完成",IF(U69&lt;&gt;"",IF(U69&gt;T69,"延迟出库","运输中"),IF(T69&lt;'基础参数'!$O$2,"已逾期",IF(T69-'基础参数'!$O$2&lt;=2,"红色预警",IF(T69-'基础参数'!$O$2&lt;=7,"黄色预警","正常")))))</x:f>
        <x:v>运输中</x:v>
      </x:c>
      <x:c r="AI69" s="27" t="str">
        <x:v>无异常</x:v>
      </x:c>
      <x:c r="AJ69" s="27" t="str">
        <x:v>-</x:v>
      </x:c>
      <x:c r="AK69" s="75" t="str">
        <x:f>IFERROR(VLOOKUP(AI69,'基础参数'!$N$5:$S$19,4,FALSE),"-")</x:f>
        <x:v>-</x:v>
      </x:c>
      <x:c r="AL69" s="33"/>
      <x:c r="AM69" s="27" t="str">
        <x:v>不适用</x:v>
      </x:c>
      <x:c r="AN69" s="27" t="str">
        <x:v>无异常</x:v>
      </x:c>
      <x:c r="AO69" s="69" t="str"/>
      <x:c r="AP69" s="69" t="str"/>
      <x:c r="AQ69" s="75" t="str">
        <x:f>IF(X69="","",IF(X69&lt;=W69,"是","否"))</x:f>
      </x:c>
      <x:c r="AR69" s="75" t="str">
        <x:f>IFERROR(VLOOKUP(AI69,'基础参数'!$N$5:$S$19,2,FALSE),"无异常")</x:f>
        <x:v>无异常</x:v>
      </x:c>
    </x:row>
    <x:row r="70" ht="34" customHeight="1">
      <x:c r="A70" s="49" t="str">
        <x:v>PO-26-065</x:v>
      </x:c>
      <x:c r="B70" s="50" t="n">
        <x:v>46137</x:v>
      </x:c>
      <x:c r="C70" s="72" t="str">
        <x:v>C015</x:v>
      </x:c>
      <x:c r="D70" s="75" t="str">
        <x:f>IFERROR(VLOOKUP(C70,'基础参数'!$A$5:$E$22,2,FALSE),"")</x:f>
        <x:v>Desert Moon Trading</x:v>
      </x:c>
      <x:c r="E70" s="75" t="str">
        <x:f>IFERROR(VLOOKUP(C70,'基础参数'!$A$5:$E$22,3,FALSE),"")</x:f>
        <x:v>阿联酋</x:v>
      </x:c>
      <x:c r="F70" s="75" t="str">
        <x:f>IFERROR(VLOOKUP(C70,'基础参数'!$A$5:$E$22,4,FALSE),"")</x:f>
        <x:v>中东</x:v>
      </x:c>
      <x:c r="G70" s="72" t="str">
        <x:v>SLP-120</x:v>
      </x:c>
      <x:c r="H70" s="75" t="str">
        <x:f>IFERROR(VLOOKUP(G70,'基础参数'!$G$5:$L$16,2,FALSE),"")</x:f>
        <x:v>三季木乃伊睡袋</x:v>
      </x:c>
      <x:c r="I70" s="75" t="str">
        <x:f>IFERROR(VLOOKUP(G70,'基础参数'!$G$5:$L$16,3,FALSE),"")</x:f>
        <x:v>睡袋</x:v>
      </x:c>
      <x:c r="J70" s="58" t="n">
        <x:v>1900</x:v>
      </x:c>
      <x:c r="K70" s="59" t="n">
        <x:v>31.57</x:v>
      </x:c>
      <x:c r="L70" s="60" t="str">
        <x:v>USD</x:v>
      </x:c>
      <x:c r="M70" s="78" t="n">
        <x:f>J70*K70</x:f>
        <x:v>59983</x:v>
      </x:c>
      <x:c r="N70" s="60" t="str">
        <x:v>DDP</x:v>
      </x:c>
      <x:c r="O70" s="60" t="str">
        <x:v>国际快递</x:v>
      </x:c>
      <x:c r="P70" s="60" t="str">
        <x:v>UPS</x:v>
      </x:c>
      <x:c r="Q70" s="60" t="str">
        <x:v>已收款</x:v>
      </x:c>
      <x:c r="R70" s="62" t="n">
        <x:v>46166</x:v>
      </x:c>
      <x:c r="S70" s="62" t="n">
        <x:v>46166</x:v>
      </x:c>
      <x:c r="T70" s="62" t="n">
        <x:v>46170</x:v>
      </x:c>
      <x:c r="U70" s="62" t="n">
        <x:v>46171</x:v>
      </x:c>
      <x:c r="V70" s="62" t="n">
        <x:v>46172</x:v>
      </x:c>
      <x:c r="W70" s="62" t="n">
        <x:v>46177</x:v>
      </x:c>
      <x:c r="X70" s="62" t="n">
        <x:v>46177</x:v>
      </x:c>
      <x:c r="Y70" s="60" t="str">
        <x:v>已签收</x:v>
      </x:c>
      <x:c r="Z70" s="60" t="str">
        <x:v>已签收</x:v>
      </x:c>
      <x:c r="AA70" s="60" t="str">
        <x:v>已完成</x:v>
      </x:c>
      <x:c r="AB70" s="60" t="str">
        <x:v>已完成</x:v>
      </x:c>
      <x:c r="AC70" s="60" t="str">
        <x:v>已完成</x:v>
      </x:c>
      <x:c r="AD70" s="60" t="str">
        <x:v>已完成</x:v>
      </x:c>
      <x:c r="AE70" s="60" t="str">
        <x:v>已完成</x:v>
      </x:c>
      <x:c r="AF70" s="81" t="n">
        <x:f>COUNTIF(AA70:AE70,"已完成")/5</x:f>
        <x:v>1</x:v>
      </x:c>
      <x:c r="AG70" s="75" t="str">
        <x:f>IF(U70&lt;&gt;"","",T70-'基础参数'!$O$2)</x:f>
      </x:c>
      <x:c r="AH70" s="75" t="str">
        <x:f>IF(X70&lt;&gt;"","已完成",IF(U70&lt;&gt;"",IF(U70&gt;T70,"延迟出库","运输中"),IF(T70&lt;'基础参数'!$O$2,"已逾期",IF(T70-'基础参数'!$O$2&lt;=2,"红色预警",IF(T70-'基础参数'!$O$2&lt;=7,"黄色预警","正常")))))</x:f>
        <x:v>已完成</x:v>
      </x:c>
      <x:c r="AI70" s="27" t="str">
        <x:v>无异常</x:v>
      </x:c>
      <x:c r="AJ70" s="27" t="str">
        <x:v>-</x:v>
      </x:c>
      <x:c r="AK70" s="75" t="str">
        <x:f>IFERROR(VLOOKUP(AI70,'基础参数'!$N$5:$S$19,4,FALSE),"-")</x:f>
        <x:v>-</x:v>
      </x:c>
      <x:c r="AL70" s="33"/>
      <x:c r="AM70" s="27" t="str">
        <x:v>不适用</x:v>
      </x:c>
      <x:c r="AN70" s="27" t="str">
        <x:v>无异常</x:v>
      </x:c>
      <x:c r="AO70" s="69" t="str"/>
      <x:c r="AP70" s="69" t="str"/>
      <x:c r="AQ70" s="75" t="str">
        <x:f>IF(X70="","",IF(X70&lt;=W70,"是","否"))</x:f>
        <x:v>是</x:v>
      </x:c>
      <x:c r="AR70" s="75" t="str">
        <x:f>IFERROR(VLOOKUP(AI70,'基础参数'!$N$5:$S$19,2,FALSE),"无异常")</x:f>
        <x:v>无异常</x:v>
      </x:c>
    </x:row>
    <x:row r="71" ht="34" customHeight="1">
      <x:c r="A71" s="49" t="str">
        <x:v>PO-26-066</x:v>
      </x:c>
      <x:c r="B71" s="50" t="n">
        <x:v>46138</x:v>
      </x:c>
      <x:c r="C71" s="72" t="str">
        <x:v>C003</x:v>
      </x:c>
      <x:c r="D71" s="75" t="str">
        <x:f>IFERROR(VLOOKUP(C71,'基础参数'!$A$5:$E$22,2,FALSE),"")</x:f>
        <x:v>CampVista BV</x:v>
      </x:c>
      <x:c r="E71" s="75" t="str">
        <x:f>IFERROR(VLOOKUP(C71,'基础参数'!$A$5:$E$22,3,FALSE),"")</x:f>
        <x:v>荷兰</x:v>
      </x:c>
      <x:c r="F71" s="75" t="str">
        <x:f>IFERROR(VLOOKUP(C71,'基础参数'!$A$5:$E$22,4,FALSE),"")</x:f>
        <x:v>欧洲</x:v>
      </x:c>
      <x:c r="G71" s="72" t="str">
        <x:v>TEN-210</x:v>
      </x:c>
      <x:c r="H71" s="75" t="str">
        <x:f>IFERROR(VLOOKUP(G71,'基础参数'!$G$5:$L$16,2,FALSE),"")</x:f>
        <x:v>双人轻量帐篷</x:v>
      </x:c>
      <x:c r="I71" s="75" t="str">
        <x:f>IFERROR(VLOOKUP(G71,'基础参数'!$G$5:$L$16,3,FALSE),"")</x:f>
        <x:v>帐篷</x:v>
      </x:c>
      <x:c r="J71" s="58" t="n">
        <x:v>900</x:v>
      </x:c>
      <x:c r="K71" s="59" t="n">
        <x:v>62.47</x:v>
      </x:c>
      <x:c r="L71" s="60" t="str">
        <x:v>EUR</x:v>
      </x:c>
      <x:c r="M71" s="78" t="n">
        <x:f>J71*K71</x:f>
        <x:v>56223</x:v>
      </x:c>
      <x:c r="N71" s="60" t="str">
        <x:v>FOB</x:v>
      </x:c>
      <x:c r="O71" s="60" t="str">
        <x:v>空运</x:v>
      </x:c>
      <x:c r="P71" s="60" t="str">
        <x:v>DHL Global Forwarding</x:v>
      </x:c>
      <x:c r="Q71" s="60" t="str">
        <x:v>已收款</x:v>
      </x:c>
      <x:c r="R71" s="62" t="n">
        <x:v>46170</x:v>
      </x:c>
      <x:c r="S71" s="62" t="n">
        <x:v>46170</x:v>
      </x:c>
      <x:c r="T71" s="62" t="n">
        <x:v>46174</x:v>
      </x:c>
      <x:c r="U71" s="62" t="n">
        <x:v>46175</x:v>
      </x:c>
      <x:c r="V71" s="62" t="n">
        <x:v>46176</x:v>
      </x:c>
      <x:c r="W71" s="62" t="n">
        <x:v>46184</x:v>
      </x:c>
      <x:c r="X71" s="62" t="n">
        <x:v>46189</x:v>
      </x:c>
      <x:c r="Y71" s="60" t="str">
        <x:v>已签收</x:v>
      </x:c>
      <x:c r="Z71" s="60" t="str">
        <x:v>已签收</x:v>
      </x:c>
      <x:c r="AA71" s="60" t="str">
        <x:v>已完成</x:v>
      </x:c>
      <x:c r="AB71" s="60" t="str">
        <x:v>已完成</x:v>
      </x:c>
      <x:c r="AC71" s="60" t="str">
        <x:v>已完成</x:v>
      </x:c>
      <x:c r="AD71" s="60" t="str">
        <x:v>已完成</x:v>
      </x:c>
      <x:c r="AE71" s="60" t="str">
        <x:v>已完成</x:v>
      </x:c>
      <x:c r="AF71" s="81" t="n">
        <x:f>COUNTIF(AA71:AE71,"已完成")/5</x:f>
        <x:v>1</x:v>
      </x:c>
      <x:c r="AG71" s="75" t="str">
        <x:f>IF(U71&lt;&gt;"","",T71-'基础参数'!$O$2)</x:f>
      </x:c>
      <x:c r="AH71" s="75" t="str">
        <x:f>IF(X71&lt;&gt;"","已完成",IF(U71&lt;&gt;"",IF(U71&gt;T71,"延迟出库","运输中"),IF(T71&lt;'基础参数'!$O$2,"已逾期",IF(T71-'基础参数'!$O$2&lt;=2,"红色预警",IF(T71-'基础参数'!$O$2&lt;=7,"黄色预警","正常")))))</x:f>
        <x:v>已完成</x:v>
      </x:c>
      <x:c r="AI71" s="27" t="str">
        <x:v>派送失败</x:v>
      </x:c>
      <x:c r="AJ71" s="27" t="str">
        <x:v>B级</x:v>
      </x:c>
      <x:c r="AK71" s="75" t="str">
        <x:f>IFERROR(VLOOKUP(AI71,'基础参数'!$N$5:$S$19,4,FALSE),"-")</x:f>
        <x:v>物流操作</x:v>
      </x:c>
      <x:c r="AL71" s="33" t="n">
        <x:v>46172</x:v>
      </x:c>
      <x:c r="AM71" s="27" t="str">
        <x:v>已通知</x:v>
      </x:c>
      <x:c r="AN71" s="27" t="str">
        <x:v>已关闭</x:v>
      </x:c>
      <x:c r="AO71" s="69" t="str">
        <x:v>派送失败导致计划节点存在一般偏差</x:v>
      </x:c>
      <x:c r="AP71" s="69" t="str">
        <x:v>已完成补救并取得客户确认</x:v>
      </x:c>
      <x:c r="AQ71" s="75" t="str">
        <x:f>IF(X71="","",IF(X71&lt;=W71,"是","否"))</x:f>
        <x:v>否</x:v>
      </x:c>
      <x:c r="AR71" s="75" t="str">
        <x:f>IFERROR(VLOOKUP(AI71,'基础参数'!$N$5:$S$19,2,FALSE),"无异常")</x:f>
        <x:v>目的国与签收</x:v>
      </x:c>
    </x:row>
    <x:row r="72" ht="34" customHeight="1">
      <x:c r="A72" s="49" t="str">
        <x:v>PO-26-067</x:v>
      </x:c>
      <x:c r="B72" s="50" t="n">
        <x:v>46140</x:v>
      </x:c>
      <x:c r="C72" s="72" t="str">
        <x:v>C011</x:v>
      </x:c>
      <x:c r="D72" s="75" t="str">
        <x:f>IFERROR(VLOOKUP(C72,'基础参数'!$A$5:$E$22,2,FALSE),"")</x:f>
        <x:v>Maple Camp Ltd.</x:v>
      </x:c>
      <x:c r="E72" s="75" t="str">
        <x:f>IFERROR(VLOOKUP(C72,'基础参数'!$A$5:$E$22,3,FALSE),"")</x:f>
        <x:v>加拿大</x:v>
      </x:c>
      <x:c r="F72" s="75" t="str">
        <x:f>IFERROR(VLOOKUP(C72,'基础参数'!$A$5:$E$22,4,FALSE),"")</x:f>
        <x:v>北美</x:v>
      </x:c>
      <x:c r="G72" s="72" t="str">
        <x:v>MAT-230</x:v>
      </x:c>
      <x:c r="H72" s="75" t="str">
        <x:f>IFERROR(VLOOKUP(G72,'基础参数'!$G$5:$L$16,2,FALSE),"")</x:f>
        <x:v>自充气露营垫</x:v>
      </x:c>
      <x:c r="I72" s="75" t="str">
        <x:f>IFERROR(VLOOKUP(G72,'基础参数'!$G$5:$L$16,3,FALSE),"")</x:f>
        <x:v>野餐垫</x:v>
      </x:c>
      <x:c r="J72" s="58" t="n">
        <x:v>2000</x:v>
      </x:c>
      <x:c r="K72" s="59" t="n">
        <x:v>38.67</x:v>
      </x:c>
      <x:c r="L72" s="60" t="str">
        <x:v>USD</x:v>
      </x:c>
      <x:c r="M72" s="78" t="n">
        <x:f>J72*K72</x:f>
        <x:v>77340</x:v>
      </x:c>
      <x:c r="N72" s="60" t="str">
        <x:v>CIF</x:v>
      </x:c>
      <x:c r="O72" s="60" t="str">
        <x:v>国际快递</x:v>
      </x:c>
      <x:c r="P72" s="60" t="str">
        <x:v>UPS</x:v>
      </x:c>
      <x:c r="Q72" s="60" t="str">
        <x:v>已收款</x:v>
      </x:c>
      <x:c r="R72" s="62" t="n">
        <x:v>46165</x:v>
      </x:c>
      <x:c r="S72" s="62" t="n">
        <x:v>46163</x:v>
      </x:c>
      <x:c r="T72" s="62" t="n">
        <x:v>46169</x:v>
      </x:c>
      <x:c r="U72" s="62" t="n">
        <x:v>46168</x:v>
      </x:c>
      <x:c r="V72" s="62" t="n">
        <x:v>46169</x:v>
      </x:c>
      <x:c r="W72" s="62" t="n">
        <x:v>46174</x:v>
      </x:c>
      <x:c r="X72" s="62" t="n">
        <x:v>46174</x:v>
      </x:c>
      <x:c r="Y72" s="60" t="str">
        <x:v>已签收</x:v>
      </x:c>
      <x:c r="Z72" s="60" t="str">
        <x:v>已签收</x:v>
      </x:c>
      <x:c r="AA72" s="60" t="str">
        <x:v>已完成</x:v>
      </x:c>
      <x:c r="AB72" s="60" t="str">
        <x:v>已完成</x:v>
      </x:c>
      <x:c r="AC72" s="60" t="str">
        <x:v>已完成</x:v>
      </x:c>
      <x:c r="AD72" s="60" t="str">
        <x:v>已完成</x:v>
      </x:c>
      <x:c r="AE72" s="60" t="str">
        <x:v>已完成</x:v>
      </x:c>
      <x:c r="AF72" s="81" t="n">
        <x:f>COUNTIF(AA72:AE72,"已完成")/5</x:f>
        <x:v>1</x:v>
      </x:c>
      <x:c r="AG72" s="75" t="str">
        <x:f>IF(U72&lt;&gt;"","",T72-'基础参数'!$O$2)</x:f>
      </x:c>
      <x:c r="AH72" s="75" t="str">
        <x:f>IF(X72&lt;&gt;"","已完成",IF(U72&lt;&gt;"",IF(U72&gt;T72,"延迟出库","运输中"),IF(T72&lt;'基础参数'!$O$2,"已逾期",IF(T72-'基础参数'!$O$2&lt;=2,"红色预警",IF(T72-'基础参数'!$O$2&lt;=7,"黄色预警","正常")))))</x:f>
        <x:v>已完成</x:v>
      </x:c>
      <x:c r="AI72" s="27" t="str">
        <x:v>无异常</x:v>
      </x:c>
      <x:c r="AJ72" s="27" t="str">
        <x:v>-</x:v>
      </x:c>
      <x:c r="AK72" s="75" t="str">
        <x:f>IFERROR(VLOOKUP(AI72,'基础参数'!$N$5:$S$19,4,FALSE),"-")</x:f>
        <x:v>-</x:v>
      </x:c>
      <x:c r="AL72" s="33"/>
      <x:c r="AM72" s="27" t="str">
        <x:v>不适用</x:v>
      </x:c>
      <x:c r="AN72" s="27" t="str">
        <x:v>无异常</x:v>
      </x:c>
      <x:c r="AO72" s="69" t="str"/>
      <x:c r="AP72" s="69" t="str"/>
      <x:c r="AQ72" s="75" t="str">
        <x:f>IF(X72="","",IF(X72&lt;=W72,"是","否"))</x:f>
        <x:v>是</x:v>
      </x:c>
      <x:c r="AR72" s="75" t="str">
        <x:f>IFERROR(VLOOKUP(AI72,'基础参数'!$N$5:$S$19,2,FALSE),"无异常")</x:f>
        <x:v>无异常</x:v>
      </x:c>
    </x:row>
    <x:row r="73" ht="34" customHeight="1">
      <x:c r="A73" s="49" t="str">
        <x:v>PO-26-068</x:v>
      </x:c>
      <x:c r="B73" s="50" t="n">
        <x:v>46142</x:v>
      </x:c>
      <x:c r="C73" s="72" t="str">
        <x:v>C013</x:v>
      </x:c>
      <x:c r="D73" s="75" t="str">
        <x:f>IFERROR(VLOOKUP(C73,'基础参数'!$A$5:$E$22,2,FALSE),"")</x:f>
        <x:v>Coast &amp; Camp Pty</x:v>
      </x:c>
      <x:c r="E73" s="75" t="str">
        <x:f>IFERROR(VLOOKUP(C73,'基础参数'!$A$5:$E$22,3,FALSE),"")</x:f>
        <x:v>澳大利亚</x:v>
      </x:c>
      <x:c r="F73" s="75" t="str">
        <x:f>IFERROR(VLOOKUP(C73,'基础参数'!$A$5:$E$22,4,FALSE),"")</x:f>
        <x:v>澳洲</x:v>
      </x:c>
      <x:c r="G73" s="72" t="str">
        <x:v>CHR-110</x:v>
      </x:c>
      <x:c r="H73" s="75" t="str">
        <x:f>IFERROR(VLOOKUP(G73,'基础参数'!$G$5:$L$16,2,FALSE),"")</x:f>
        <x:v>铝合金折叠椅</x:v>
      </x:c>
      <x:c r="I73" s="75" t="str">
        <x:f>IFERROR(VLOOKUP(G73,'基础参数'!$G$5:$L$16,3,FALSE),"")</x:f>
        <x:v>折叠家具</x:v>
      </x:c>
      <x:c r="J73" s="58" t="n">
        <x:v>1100</x:v>
      </x:c>
      <x:c r="K73" s="59" t="n">
        <x:v>23.55</x:v>
      </x:c>
      <x:c r="L73" s="60" t="str">
        <x:v>USD</x:v>
      </x:c>
      <x:c r="M73" s="78" t="n">
        <x:f>J73*K73</x:f>
        <x:v>25905</x:v>
      </x:c>
      <x:c r="N73" s="60" t="str">
        <x:v>DDP</x:v>
      </x:c>
      <x:c r="O73" s="60" t="str">
        <x:v>国际快递</x:v>
      </x:c>
      <x:c r="P73" s="60" t="str">
        <x:v>UPS</x:v>
      </x:c>
      <x:c r="Q73" s="60" t="str">
        <x:v>已收款</x:v>
      </x:c>
      <x:c r="R73" s="62" t="n">
        <x:v>46166</x:v>
      </x:c>
      <x:c r="S73" s="62" t="n">
        <x:v>46164</x:v>
      </x:c>
      <x:c r="T73" s="62" t="n">
        <x:v>46170</x:v>
      </x:c>
      <x:c r="U73" s="62" t="n">
        <x:v>46169</x:v>
      </x:c>
      <x:c r="V73" s="62" t="n">
        <x:v>46170</x:v>
      </x:c>
      <x:c r="W73" s="62" t="n">
        <x:v>46175</x:v>
      </x:c>
      <x:c r="X73" s="62" t="n">
        <x:v>46175</x:v>
      </x:c>
      <x:c r="Y73" s="60" t="str">
        <x:v>已签收</x:v>
      </x:c>
      <x:c r="Z73" s="60" t="str">
        <x:v>已签收</x:v>
      </x:c>
      <x:c r="AA73" s="60" t="str">
        <x:v>已完成</x:v>
      </x:c>
      <x:c r="AB73" s="60" t="str">
        <x:v>已完成</x:v>
      </x:c>
      <x:c r="AC73" s="60" t="str">
        <x:v>已完成</x:v>
      </x:c>
      <x:c r="AD73" s="60" t="str">
        <x:v>已完成</x:v>
      </x:c>
      <x:c r="AE73" s="60" t="str">
        <x:v>已完成</x:v>
      </x:c>
      <x:c r="AF73" s="81" t="n">
        <x:f>COUNTIF(AA73:AE73,"已完成")/5</x:f>
        <x:v>1</x:v>
      </x:c>
      <x:c r="AG73" s="75" t="str">
        <x:f>IF(U73&lt;&gt;"","",T73-'基础参数'!$O$2)</x:f>
      </x:c>
      <x:c r="AH73" s="75" t="str">
        <x:f>IF(X73&lt;&gt;"","已完成",IF(U73&lt;&gt;"",IF(U73&gt;T73,"延迟出库","运输中"),IF(T73&lt;'基础参数'!$O$2,"已逾期",IF(T73-'基础参数'!$O$2&lt;=2,"红色预警",IF(T73-'基础参数'!$O$2&lt;=7,"黄色预警","正常")))))</x:f>
        <x:v>已完成</x:v>
      </x:c>
      <x:c r="AI73" s="27" t="str">
        <x:v>无异常</x:v>
      </x:c>
      <x:c r="AJ73" s="27" t="str">
        <x:v>-</x:v>
      </x:c>
      <x:c r="AK73" s="75" t="str">
        <x:f>IFERROR(VLOOKUP(AI73,'基础参数'!$N$5:$S$19,4,FALSE),"-")</x:f>
        <x:v>-</x:v>
      </x:c>
      <x:c r="AL73" s="33"/>
      <x:c r="AM73" s="27" t="str">
        <x:v>不适用</x:v>
      </x:c>
      <x:c r="AN73" s="27" t="str">
        <x:v>无异常</x:v>
      </x:c>
      <x:c r="AO73" s="69" t="str"/>
      <x:c r="AP73" s="69" t="str"/>
      <x:c r="AQ73" s="75" t="str">
        <x:f>IF(X73="","",IF(X73&lt;=W73,"是","否"))</x:f>
        <x:v>是</x:v>
      </x:c>
      <x:c r="AR73" s="75" t="str">
        <x:f>IFERROR(VLOOKUP(AI73,'基础参数'!$N$5:$S$19,2,FALSE),"无异常")</x:f>
        <x:v>无异常</x:v>
      </x:c>
    </x:row>
    <x:row r="74" ht="34" customHeight="1">
      <x:c r="A74" s="49" t="str">
        <x:v>PO-26-069</x:v>
      </x:c>
      <x:c r="B74" s="50" t="n">
        <x:v>46144</x:v>
      </x:c>
      <x:c r="C74" s="72" t="str">
        <x:v>C018</x:v>
      </x:c>
      <x:c r="D74" s="75" t="str">
        <x:f>IFERROR(VLOOKUP(C74,'基础参数'!$A$5:$E$22,2,FALSE),"")</x:f>
        <x:v>Lion City Gear</x:v>
      </x:c>
      <x:c r="E74" s="75" t="str">
        <x:f>IFERROR(VLOOKUP(C74,'基础参数'!$A$5:$E$22,3,FALSE),"")</x:f>
        <x:v>新加坡</x:v>
      </x:c>
      <x:c r="F74" s="75" t="str">
        <x:f>IFERROR(VLOOKUP(C74,'基础参数'!$A$5:$E$22,4,FALSE),"")</x:f>
        <x:v>亚洲</x:v>
      </x:c>
      <x:c r="G74" s="72" t="str">
        <x:v>LGT-100</x:v>
      </x:c>
      <x:c r="H74" s="75" t="str">
        <x:f>IFERROR(VLOOKUP(G74,'基础参数'!$G$5:$L$16,2,FALSE),"")</x:f>
        <x:v>USB充电露营灯</x:v>
      </x:c>
      <x:c r="I74" s="75" t="str">
        <x:f>IFERROR(VLOOKUP(G74,'基础参数'!$G$5:$L$16,3,FALSE),"")</x:f>
        <x:v>露营照明</x:v>
      </x:c>
      <x:c r="J74" s="58" t="n">
        <x:v>2150</x:v>
      </x:c>
      <x:c r="K74" s="59" t="n">
        <x:v>16.99</x:v>
      </x:c>
      <x:c r="L74" s="60" t="str">
        <x:v>USD</x:v>
      </x:c>
      <x:c r="M74" s="78" t="n">
        <x:f>J74*K74</x:f>
        <x:v>36528.5</x:v>
      </x:c>
      <x:c r="N74" s="60" t="str">
        <x:v>FOB</x:v>
      </x:c>
      <x:c r="O74" s="60" t="str">
        <x:v>国际快递</x:v>
      </x:c>
      <x:c r="P74" s="60" t="str">
        <x:v>DHL Express</x:v>
      </x:c>
      <x:c r="Q74" s="60" t="str">
        <x:v>已收款</x:v>
      </x:c>
      <x:c r="R74" s="62" t="n">
        <x:v>46166</x:v>
      </x:c>
      <x:c r="S74" s="62" t="n">
        <x:v>46164</x:v>
      </x:c>
      <x:c r="T74" s="62" t="n">
        <x:v>46170</x:v>
      </x:c>
      <x:c r="U74" s="62" t="n">
        <x:v>46171</x:v>
      </x:c>
      <x:c r="V74" s="62" t="n">
        <x:v>46172</x:v>
      </x:c>
      <x:c r="W74" s="62" t="n">
        <x:v>46177</x:v>
      </x:c>
      <x:c r="X74" s="62" t="n">
        <x:v>46176</x:v>
      </x:c>
      <x:c r="Y74" s="60" t="str">
        <x:v>已签收</x:v>
      </x:c>
      <x:c r="Z74" s="60" t="str">
        <x:v>已签收</x:v>
      </x:c>
      <x:c r="AA74" s="60" t="str">
        <x:v>已完成</x:v>
      </x:c>
      <x:c r="AB74" s="60" t="str">
        <x:v>已完成</x:v>
      </x:c>
      <x:c r="AC74" s="60" t="str">
        <x:v>已完成</x:v>
      </x:c>
      <x:c r="AD74" s="60" t="str">
        <x:v>已完成</x:v>
      </x:c>
      <x:c r="AE74" s="60" t="str">
        <x:v>已完成</x:v>
      </x:c>
      <x:c r="AF74" s="81" t="n">
        <x:f>COUNTIF(AA74:AE74,"已完成")/5</x:f>
        <x:v>1</x:v>
      </x:c>
      <x:c r="AG74" s="75" t="str">
        <x:f>IF(U74&lt;&gt;"","",T74-'基础参数'!$O$2)</x:f>
      </x:c>
      <x:c r="AH74" s="75" t="str">
        <x:f>IF(X74&lt;&gt;"","已完成",IF(U74&lt;&gt;"",IF(U74&gt;T74,"延迟出库","运输中"),IF(T74&lt;'基础参数'!$O$2,"已逾期",IF(T74-'基础参数'!$O$2&lt;=2,"红色预警",IF(T74-'基础参数'!$O$2&lt;=7,"黄色预警","正常")))))</x:f>
        <x:v>已完成</x:v>
      </x:c>
      <x:c r="AI74" s="27" t="str">
        <x:v>无异常</x:v>
      </x:c>
      <x:c r="AJ74" s="27" t="str">
        <x:v>-</x:v>
      </x:c>
      <x:c r="AK74" s="75" t="str">
        <x:f>IFERROR(VLOOKUP(AI74,'基础参数'!$N$5:$S$19,4,FALSE),"-")</x:f>
        <x:v>-</x:v>
      </x:c>
      <x:c r="AL74" s="33"/>
      <x:c r="AM74" s="27" t="str">
        <x:v>不适用</x:v>
      </x:c>
      <x:c r="AN74" s="27" t="str">
        <x:v>无异常</x:v>
      </x:c>
      <x:c r="AO74" s="69" t="str"/>
      <x:c r="AP74" s="69" t="str"/>
      <x:c r="AQ74" s="75" t="str">
        <x:f>IF(X74="","",IF(X74&lt;=W74,"是","否"))</x:f>
        <x:v>是</x:v>
      </x:c>
      <x:c r="AR74" s="75" t="str">
        <x:f>IFERROR(VLOOKUP(AI74,'基础参数'!$N$5:$S$19,2,FALSE),"无异常")</x:f>
        <x:v>无异常</x:v>
      </x:c>
    </x:row>
    <x:row r="75" ht="34" customHeight="1">
      <x:c r="A75" s="49" t="str">
        <x:v>PO-26-070</x:v>
      </x:c>
      <x:c r="B75" s="50" t="n">
        <x:v>46145</x:v>
      </x:c>
      <x:c r="C75" s="72" t="str">
        <x:v>C007</x:v>
      </x:c>
      <x:c r="D75" s="75" t="str">
        <x:f>IFERROR(VLOOKUP(C75,'基础参数'!$A$5:$E$22,2,FALSE),"")</x:f>
        <x:v>Summit Supply Inc.</x:v>
      </x:c>
      <x:c r="E75" s="75" t="str">
        <x:f>IFERROR(VLOOKUP(C75,'基础参数'!$A$5:$E$22,3,FALSE),"")</x:f>
        <x:v>美国</x:v>
      </x:c>
      <x:c r="F75" s="75" t="str">
        <x:f>IFERROR(VLOOKUP(C75,'基础参数'!$A$5:$E$22,4,FALSE),"")</x:f>
        <x:v>北美</x:v>
      </x:c>
      <x:c r="G75" s="72" t="str">
        <x:v>SLP-120</x:v>
      </x:c>
      <x:c r="H75" s="75" t="str">
        <x:f>IFERROR(VLOOKUP(G75,'基础参数'!$G$5:$L$16,2,FALSE),"")</x:f>
        <x:v>三季木乃伊睡袋</x:v>
      </x:c>
      <x:c r="I75" s="75" t="str">
        <x:f>IFERROR(VLOOKUP(G75,'基础参数'!$G$5:$L$16,3,FALSE),"")</x:f>
        <x:v>睡袋</x:v>
      </x:c>
      <x:c r="J75" s="58" t="n">
        <x:v>850</x:v>
      </x:c>
      <x:c r="K75" s="59" t="n">
        <x:v>32.44</x:v>
      </x:c>
      <x:c r="L75" s="60" t="str">
        <x:v>USD</x:v>
      </x:c>
      <x:c r="M75" s="78" t="n">
        <x:f>J75*K75</x:f>
        <x:v>27573.999999999996</x:v>
      </x:c>
      <x:c r="N75" s="60" t="str">
        <x:v>CIF</x:v>
      </x:c>
      <x:c r="O75" s="60" t="str">
        <x:v>国际快递</x:v>
      </x:c>
      <x:c r="P75" s="60" t="str">
        <x:v>DHL Express</x:v>
      </x:c>
      <x:c r="Q75" s="60" t="str">
        <x:v>已收定金</x:v>
      </x:c>
      <x:c r="R75" s="62" t="n">
        <x:v>46174</x:v>
      </x:c>
      <x:c r="S75" s="62"/>
      <x:c r="T75" s="62" t="n">
        <x:v>46178</x:v>
      </x:c>
      <x:c r="U75" s="62"/>
      <x:c r="V75" s="62" t="n">
        <x:v>46179</x:v>
      </x:c>
      <x:c r="W75" s="62" t="n">
        <x:v>46184</x:v>
      </x:c>
      <x:c r="X75" s="62"/>
      <x:c r="Y75" s="60" t="str">
        <x:v>生产中</x:v>
      </x:c>
      <x:c r="Z75" s="60" t="str">
        <x:v>待出运</x:v>
      </x:c>
      <x:c r="AA75" s="60" t="str">
        <x:v>已完成</x:v>
      </x:c>
      <x:c r="AB75" s="60" t="str">
        <x:v>已完成</x:v>
      </x:c>
      <x:c r="AC75" s="60" t="str">
        <x:v>已完成</x:v>
      </x:c>
      <x:c r="AD75" s="60" t="str">
        <x:v>待补充</x:v>
      </x:c>
      <x:c r="AE75" s="60" t="str">
        <x:v>已完成</x:v>
      </x:c>
      <x:c r="AF75" s="81" t="n">
        <x:f>COUNTIF(AA75:AE75,"已完成")/5</x:f>
        <x:v>0.8</x:v>
      </x:c>
      <x:c r="AG75" s="75" t="n">
        <x:f>IF(U75&lt;&gt;"","",T75-'基础参数'!$O$2)</x:f>
        <x:v>-18</x:v>
      </x:c>
      <x:c r="AH75" s="75" t="str">
        <x:f>IF(X75&lt;&gt;"","已完成",IF(U75&lt;&gt;"",IF(U75&gt;T75,"延迟出库","运输中"),IF(T75&lt;'基础参数'!$O$2,"已逾期",IF(T75-'基础参数'!$O$2&lt;=2,"红色预警",IF(T75-'基础参数'!$O$2&lt;=7,"黄色预警","正常")))))</x:f>
        <x:v>已逾期</x:v>
      </x:c>
      <x:c r="AI75" s="27" t="str">
        <x:v>原料延期</x:v>
      </x:c>
      <x:c r="AJ75" s="27" t="str">
        <x:v>B级</x:v>
      </x:c>
      <x:c r="AK75" s="75" t="str">
        <x:f>IFERROR(VLOOKUP(AI75,'基础参数'!$N$5:$S$19,4,FALSE),"-")</x:f>
        <x:v>供应链专员</x:v>
      </x:c>
      <x:c r="AL75" s="33" t="n">
        <x:v>46180</x:v>
      </x:c>
      <x:c r="AM75" s="27" t="str">
        <x:v>已通知</x:v>
      </x:c>
      <x:c r="AN75" s="27" t="str">
        <x:v>处理中</x:v>
      </x:c>
      <x:c r="AO75" s="69" t="str">
        <x:v>原料延期导致计划节点存在一般偏差</x:v>
      </x:c>
      <x:c r="AP75" s="69" t="str">
        <x:v>正在协调恢复方案</x:v>
      </x:c>
      <x:c r="AQ75" s="75" t="str">
        <x:f>IF(X75="","",IF(X75&lt;=W75,"是","否"))</x:f>
      </x:c>
      <x:c r="AR75" s="75" t="str">
        <x:f>IFERROR(VLOOKUP(AI75,'基础参数'!$N$5:$S$19,2,FALSE),"无异常")</x:f>
        <x:v>生产与备货</x:v>
      </x:c>
    </x:row>
    <x:row r="76" ht="34" customHeight="1">
      <x:c r="A76" s="49" t="str">
        <x:v>PO-26-071</x:v>
      </x:c>
      <x:c r="B76" s="50" t="n">
        <x:v>46147</x:v>
      </x:c>
      <x:c r="C76" s="72" t="str">
        <x:v>C012</x:v>
      </x:c>
      <x:c r="D76" s="75" t="str">
        <x:f>IFERROR(VLOOKUP(C76,'基础参数'!$A$5:$E$22,2,FALSE),"")</x:f>
        <x:v>Outback Living Pty</x:v>
      </x:c>
      <x:c r="E76" s="75" t="str">
        <x:f>IFERROR(VLOOKUP(C76,'基础参数'!$A$5:$E$22,3,FALSE),"")</x:f>
        <x:v>澳大利亚</x:v>
      </x:c>
      <x:c r="F76" s="75" t="str">
        <x:f>IFERROR(VLOOKUP(C76,'基础参数'!$A$5:$E$22,4,FALSE),"")</x:f>
        <x:v>澳洲</x:v>
      </x:c>
      <x:c r="G76" s="72" t="str">
        <x:v>CKT-150</x:v>
      </x:c>
      <x:c r="H76" s="75" t="str">
        <x:f>IFERROR(VLOOKUP(G76,'基础参数'!$G$5:$L$16,2,FALSE),"")</x:f>
        <x:v>不锈钢炊具套装</x:v>
      </x:c>
      <x:c r="I76" s="75" t="str">
        <x:f>IFERROR(VLOOKUP(G76,'基础参数'!$G$5:$L$16,3,FALSE),"")</x:f>
        <x:v>户外炊具</x:v>
      </x:c>
      <x:c r="J76" s="58" t="n">
        <x:v>1300</x:v>
      </x:c>
      <x:c r="K76" s="59" t="n">
        <x:v>29.38</x:v>
      </x:c>
      <x:c r="L76" s="60" t="str">
        <x:v>USD</x:v>
      </x:c>
      <x:c r="M76" s="78" t="n">
        <x:f>J76*K76</x:f>
        <x:v>38194</x:v>
      </x:c>
      <x:c r="N76" s="60" t="str">
        <x:v>FOB</x:v>
      </x:c>
      <x:c r="O76" s="60" t="str">
        <x:v>国际快递</x:v>
      </x:c>
      <x:c r="P76" s="60" t="str">
        <x:v>UPS</x:v>
      </x:c>
      <x:c r="Q76" s="60" t="str">
        <x:v>已收款</x:v>
      </x:c>
      <x:c r="R76" s="62" t="n">
        <x:v>46173</x:v>
      </x:c>
      <x:c r="S76" s="62" t="n">
        <x:v>46173</x:v>
      </x:c>
      <x:c r="T76" s="62" t="n">
        <x:v>46177</x:v>
      </x:c>
      <x:c r="U76" s="62" t="n">
        <x:v>46177</x:v>
      </x:c>
      <x:c r="V76" s="62" t="n">
        <x:v>46178</x:v>
      </x:c>
      <x:c r="W76" s="62" t="n">
        <x:v>46183</x:v>
      </x:c>
      <x:c r="X76" s="62" t="n">
        <x:v>46182</x:v>
      </x:c>
      <x:c r="Y76" s="60" t="str">
        <x:v>已签收</x:v>
      </x:c>
      <x:c r="Z76" s="60" t="str">
        <x:v>已签收</x:v>
      </x:c>
      <x:c r="AA76" s="60" t="str">
        <x:v>已完成</x:v>
      </x:c>
      <x:c r="AB76" s="60" t="str">
        <x:v>已完成</x:v>
      </x:c>
      <x:c r="AC76" s="60" t="str">
        <x:v>已完成</x:v>
      </x:c>
      <x:c r="AD76" s="60" t="str">
        <x:v>已完成</x:v>
      </x:c>
      <x:c r="AE76" s="60" t="str">
        <x:v>已完成</x:v>
      </x:c>
      <x:c r="AF76" s="81" t="n">
        <x:f>COUNTIF(AA76:AE76,"已完成")/5</x:f>
        <x:v>1</x:v>
      </x:c>
      <x:c r="AG76" s="75" t="str">
        <x:f>IF(U76&lt;&gt;"","",T76-'基础参数'!$O$2)</x:f>
      </x:c>
      <x:c r="AH76" s="75" t="str">
        <x:f>IF(X76&lt;&gt;"","已完成",IF(U76&lt;&gt;"",IF(U76&gt;T76,"延迟出库","运输中"),IF(T76&lt;'基础参数'!$O$2,"已逾期",IF(T76-'基础参数'!$O$2&lt;=2,"红色预警",IF(T76-'基础参数'!$O$2&lt;=7,"黄色预警","正常")))))</x:f>
        <x:v>已完成</x:v>
      </x:c>
      <x:c r="AI76" s="27" t="str">
        <x:v>无异常</x:v>
      </x:c>
      <x:c r="AJ76" s="27" t="str">
        <x:v>-</x:v>
      </x:c>
      <x:c r="AK76" s="75" t="str">
        <x:f>IFERROR(VLOOKUP(AI76,'基础参数'!$N$5:$S$19,4,FALSE),"-")</x:f>
        <x:v>-</x:v>
      </x:c>
      <x:c r="AL76" s="33"/>
      <x:c r="AM76" s="27" t="str">
        <x:v>不适用</x:v>
      </x:c>
      <x:c r="AN76" s="27" t="str">
        <x:v>无异常</x:v>
      </x:c>
      <x:c r="AO76" s="69" t="str"/>
      <x:c r="AP76" s="69" t="str"/>
      <x:c r="AQ76" s="75" t="str">
        <x:f>IF(X76="","",IF(X76&lt;=W76,"是","否"))</x:f>
        <x:v>是</x:v>
      </x:c>
      <x:c r="AR76" s="75" t="str">
        <x:f>IFERROR(VLOOKUP(AI76,'基础参数'!$N$5:$S$19,2,FALSE),"无异常")</x:f>
        <x:v>无异常</x:v>
      </x:c>
    </x:row>
    <x:row r="77" ht="34" customHeight="1">
      <x:c r="A77" s="49" t="str">
        <x:v>PO-26-072</x:v>
      </x:c>
      <x:c r="B77" s="50" t="n">
        <x:v>46149</x:v>
      </x:c>
      <x:c r="C77" s="72" t="str">
        <x:v>C017</x:v>
      </x:c>
      <x:c r="D77" s="75" t="str">
        <x:f>IFERROR(VLOOKUP(C77,'基础参数'!$A$5:$E$22,2,FALSE),"")</x:f>
        <x:v>HanRiver Outdoor</x:v>
      </x:c>
      <x:c r="E77" s="75" t="str">
        <x:f>IFERROR(VLOOKUP(C77,'基础参数'!$A$5:$E$22,3,FALSE),"")</x:f>
        <x:v>韩国</x:v>
      </x:c>
      <x:c r="F77" s="75" t="str">
        <x:f>IFERROR(VLOOKUP(C77,'基础参数'!$A$5:$E$22,4,FALSE),"")</x:f>
        <x:v>亚洲</x:v>
      </x:c>
      <x:c r="G77" s="72" t="str">
        <x:v>LGT-100</x:v>
      </x:c>
      <x:c r="H77" s="75" t="str">
        <x:f>IFERROR(VLOOKUP(G77,'基础参数'!$G$5:$L$16,2,FALSE),"")</x:f>
        <x:v>USB充电露营灯</x:v>
      </x:c>
      <x:c r="I77" s="75" t="str">
        <x:f>IFERROR(VLOOKUP(G77,'基础参数'!$G$5:$L$16,3,FALSE),"")</x:f>
        <x:v>露营照明</x:v>
      </x:c>
      <x:c r="J77" s="58" t="n">
        <x:v>1300</x:v>
      </x:c>
      <x:c r="K77" s="59" t="n">
        <x:v>18.58</x:v>
      </x:c>
      <x:c r="L77" s="60" t="str">
        <x:v>USD</x:v>
      </x:c>
      <x:c r="M77" s="78" t="n">
        <x:f>J77*K77</x:f>
        <x:v>24153.999999999996</x:v>
      </x:c>
      <x:c r="N77" s="60" t="str">
        <x:v>DDP</x:v>
      </x:c>
      <x:c r="O77" s="60" t="str">
        <x:v>海运</x:v>
      </x:c>
      <x:c r="P77" s="60" t="str">
        <x:v>CMA CGM</x:v>
      </x:c>
      <x:c r="Q77" s="60" t="str">
        <x:v>已收款</x:v>
      </x:c>
      <x:c r="R77" s="62" t="n">
        <x:v>46171</x:v>
      </x:c>
      <x:c r="S77" s="62" t="n">
        <x:v>46170</x:v>
      </x:c>
      <x:c r="T77" s="62" t="n">
        <x:v>46175</x:v>
      </x:c>
      <x:c r="U77" s="62" t="n">
        <x:v>46175</x:v>
      </x:c>
      <x:c r="V77" s="62" t="n">
        <x:v>46176</x:v>
      </x:c>
      <x:c r="W77" s="62" t="n">
        <x:v>46208</x:v>
      </x:c>
      <x:c r="X77" s="62"/>
      <x:c r="Y77" s="60" t="str">
        <x:v>国际运输</x:v>
      </x:c>
      <x:c r="Z77" s="60" t="str">
        <x:v>运输中</x:v>
      </x:c>
      <x:c r="AA77" s="60" t="str">
        <x:v>已完成</x:v>
      </x:c>
      <x:c r="AB77" s="60" t="str">
        <x:v>已完成</x:v>
      </x:c>
      <x:c r="AC77" s="60" t="str">
        <x:v>已完成</x:v>
      </x:c>
      <x:c r="AD77" s="60" t="str">
        <x:v>已完成</x:v>
      </x:c>
      <x:c r="AE77" s="60" t="str">
        <x:v>已完成</x:v>
      </x:c>
      <x:c r="AF77" s="81" t="n">
        <x:f>COUNTIF(AA77:AE77,"已完成")/5</x:f>
        <x:v>1</x:v>
      </x:c>
      <x:c r="AG77" s="75" t="str">
        <x:f>IF(U77&lt;&gt;"","",T77-'基础参数'!$O$2)</x:f>
      </x:c>
      <x:c r="AH77" s="75" t="str">
        <x:f>IF(X77&lt;&gt;"","已完成",IF(U77&lt;&gt;"",IF(U77&gt;T77,"延迟出库","运输中"),IF(T77&lt;'基础参数'!$O$2,"已逾期",IF(T77-'基础参数'!$O$2&lt;=2,"红色预警",IF(T77-'基础参数'!$O$2&lt;=7,"黄色预警","正常")))))</x:f>
        <x:v>运输中</x:v>
      </x:c>
      <x:c r="AI77" s="27" t="str">
        <x:v>无异常</x:v>
      </x:c>
      <x:c r="AJ77" s="27" t="str">
        <x:v>-</x:v>
      </x:c>
      <x:c r="AK77" s="75" t="str">
        <x:f>IFERROR(VLOOKUP(AI77,'基础参数'!$N$5:$S$19,4,FALSE),"-")</x:f>
        <x:v>-</x:v>
      </x:c>
      <x:c r="AL77" s="33"/>
      <x:c r="AM77" s="27" t="str">
        <x:v>不适用</x:v>
      </x:c>
      <x:c r="AN77" s="27" t="str">
        <x:v>无异常</x:v>
      </x:c>
      <x:c r="AO77" s="69" t="str"/>
      <x:c r="AP77" s="69" t="str"/>
      <x:c r="AQ77" s="75" t="str">
        <x:f>IF(X77="","",IF(X77&lt;=W77,"是","否"))</x:f>
      </x:c>
      <x:c r="AR77" s="75" t="str">
        <x:f>IFERROR(VLOOKUP(AI77,'基础参数'!$N$5:$S$19,2,FALSE),"无异常")</x:f>
        <x:v>无异常</x:v>
      </x:c>
    </x:row>
    <x:row r="78" ht="34" customHeight="1">
      <x:c r="A78" s="49" t="str">
        <x:v>PO-26-073</x:v>
      </x:c>
      <x:c r="B78" s="50" t="n">
        <x:v>46151</x:v>
      </x:c>
      <x:c r="C78" s="72" t="str">
        <x:v>C003</x:v>
      </x:c>
      <x:c r="D78" s="75" t="str">
        <x:f>IFERROR(VLOOKUP(C78,'基础参数'!$A$5:$E$22,2,FALSE),"")</x:f>
        <x:v>CampVista BV</x:v>
      </x:c>
      <x:c r="E78" s="75" t="str">
        <x:f>IFERROR(VLOOKUP(C78,'基础参数'!$A$5:$E$22,3,FALSE),"")</x:f>
        <x:v>荷兰</x:v>
      </x:c>
      <x:c r="F78" s="75" t="str">
        <x:f>IFERROR(VLOOKUP(C78,'基础参数'!$A$5:$E$22,4,FALSE),"")</x:f>
        <x:v>欧洲</x:v>
      </x:c>
      <x:c r="G78" s="72" t="str">
        <x:v>TBL-220</x:v>
      </x:c>
      <x:c r="H78" s="75" t="str">
        <x:f>IFERROR(VLOOKUP(G78,'基础参数'!$G$5:$L$16,2,FALSE),"")</x:f>
        <x:v>便携折叠桌</x:v>
      </x:c>
      <x:c r="I78" s="75" t="str">
        <x:f>IFERROR(VLOOKUP(G78,'基础参数'!$G$5:$L$16,3,FALSE),"")</x:f>
        <x:v>折叠家具</x:v>
      </x:c>
      <x:c r="J78" s="58" t="n">
        <x:v>1750</x:v>
      </x:c>
      <x:c r="K78" s="59" t="n">
        <x:v>39.89</x:v>
      </x:c>
      <x:c r="L78" s="60" t="str">
        <x:v>EUR</x:v>
      </x:c>
      <x:c r="M78" s="78" t="n">
        <x:f>J78*K78</x:f>
        <x:v>69807.5</x:v>
      </x:c>
      <x:c r="N78" s="60" t="str">
        <x:v>DDP</x:v>
      </x:c>
      <x:c r="O78" s="60" t="str">
        <x:v>海运</x:v>
      </x:c>
      <x:c r="P78" s="60" t="str">
        <x:v>Maersk</x:v>
      </x:c>
      <x:c r="Q78" s="60" t="str">
        <x:v>已收款</x:v>
      </x:c>
      <x:c r="R78" s="62" t="n">
        <x:v>46178</x:v>
      </x:c>
      <x:c r="S78" s="62" t="n">
        <x:v>46178</x:v>
      </x:c>
      <x:c r="T78" s="62" t="n">
        <x:v>46182</x:v>
      </x:c>
      <x:c r="U78" s="62" t="n">
        <x:v>46181</x:v>
      </x:c>
      <x:c r="V78" s="62" t="n">
        <x:v>46182</x:v>
      </x:c>
      <x:c r="W78" s="62" t="n">
        <x:v>46214</x:v>
      </x:c>
      <x:c r="X78" s="62"/>
      <x:c r="Y78" s="60" t="str">
        <x:v>国际运输</x:v>
      </x:c>
      <x:c r="Z78" s="60" t="str">
        <x:v>运输中</x:v>
      </x:c>
      <x:c r="AA78" s="60" t="str">
        <x:v>已完成</x:v>
      </x:c>
      <x:c r="AB78" s="60" t="str">
        <x:v>已完成</x:v>
      </x:c>
      <x:c r="AC78" s="60" t="str">
        <x:v>已完成</x:v>
      </x:c>
      <x:c r="AD78" s="60" t="str">
        <x:v>已完成</x:v>
      </x:c>
      <x:c r="AE78" s="60" t="str">
        <x:v>已完成</x:v>
      </x:c>
      <x:c r="AF78" s="81" t="n">
        <x:f>COUNTIF(AA78:AE78,"已完成")/5</x:f>
        <x:v>1</x:v>
      </x:c>
      <x:c r="AG78" s="75" t="str">
        <x:f>IF(U78&lt;&gt;"","",T78-'基础参数'!$O$2)</x:f>
      </x:c>
      <x:c r="AH78" s="75" t="str">
        <x:f>IF(X78&lt;&gt;"","已完成",IF(U78&lt;&gt;"",IF(U78&gt;T78,"延迟出库","运输中"),IF(T78&lt;'基础参数'!$O$2,"已逾期",IF(T78-'基础参数'!$O$2&lt;=2,"红色预警",IF(T78-'基础参数'!$O$2&lt;=7,"黄色预警","正常")))))</x:f>
        <x:v>运输中</x:v>
      </x:c>
      <x:c r="AI78" s="27" t="str">
        <x:v>无异常</x:v>
      </x:c>
      <x:c r="AJ78" s="27" t="str">
        <x:v>-</x:v>
      </x:c>
      <x:c r="AK78" s="75" t="str">
        <x:f>IFERROR(VLOOKUP(AI78,'基础参数'!$N$5:$S$19,4,FALSE),"-")</x:f>
        <x:v>-</x:v>
      </x:c>
      <x:c r="AL78" s="33"/>
      <x:c r="AM78" s="27" t="str">
        <x:v>不适用</x:v>
      </x:c>
      <x:c r="AN78" s="27" t="str">
        <x:v>无异常</x:v>
      </x:c>
      <x:c r="AO78" s="69" t="str"/>
      <x:c r="AP78" s="69" t="str"/>
      <x:c r="AQ78" s="75" t="str">
        <x:f>IF(X78="","",IF(X78&lt;=W78,"是","否"))</x:f>
      </x:c>
      <x:c r="AR78" s="75" t="str">
        <x:f>IFERROR(VLOOKUP(AI78,'基础参数'!$N$5:$S$19,2,FALSE),"无异常")</x:f>
        <x:v>无异常</x:v>
      </x:c>
    </x:row>
    <x:row r="79" ht="34" customHeight="1">
      <x:c r="A79" s="49" t="str">
        <x:v>PO-26-074</x:v>
      </x:c>
      <x:c r="B79" s="50" t="n">
        <x:v>46152</x:v>
      </x:c>
      <x:c r="C79" s="72" t="str">
        <x:v>C008</x:v>
      </x:c>
      <x:c r="D79" s="75" t="str">
        <x:f>IFERROR(VLOOKUP(C79,'基础参数'!$A$5:$E$22,2,FALSE),"")</x:f>
        <x:v>Camp Harbor LLC</x:v>
      </x:c>
      <x:c r="E79" s="75" t="str">
        <x:f>IFERROR(VLOOKUP(C79,'基础参数'!$A$5:$E$22,3,FALSE),"")</x:f>
        <x:v>美国</x:v>
      </x:c>
      <x:c r="F79" s="75" t="str">
        <x:f>IFERROR(VLOOKUP(C79,'基础参数'!$A$5:$E$22,4,FALSE),"")</x:f>
        <x:v>北美</x:v>
      </x:c>
      <x:c r="G79" s="72" t="str">
        <x:v>LGT-100</x:v>
      </x:c>
      <x:c r="H79" s="75" t="str">
        <x:f>IFERROR(VLOOKUP(G79,'基础参数'!$G$5:$L$16,2,FALSE),"")</x:f>
        <x:v>USB充电露营灯</x:v>
      </x:c>
      <x:c r="I79" s="75" t="str">
        <x:f>IFERROR(VLOOKUP(G79,'基础参数'!$G$5:$L$16,3,FALSE),"")</x:f>
        <x:v>露营照明</x:v>
      </x:c>
      <x:c r="J79" s="58" t="n">
        <x:v>1800</x:v>
      </x:c>
      <x:c r="K79" s="59" t="n">
        <x:v>17.28</x:v>
      </x:c>
      <x:c r="L79" s="60" t="str">
        <x:v>USD</x:v>
      </x:c>
      <x:c r="M79" s="78" t="n">
        <x:f>J79*K79</x:f>
        <x:v>31104.000000000004</x:v>
      </x:c>
      <x:c r="N79" s="60" t="str">
        <x:v>FOB</x:v>
      </x:c>
      <x:c r="O79" s="60" t="str">
        <x:v>海运</x:v>
      </x:c>
      <x:c r="P79" s="60" t="str">
        <x:v>COSCO</x:v>
      </x:c>
      <x:c r="Q79" s="60" t="str">
        <x:v>已收款</x:v>
      </x:c>
      <x:c r="R79" s="62" t="n">
        <x:v>46174</x:v>
      </x:c>
      <x:c r="S79" s="62" t="n">
        <x:v>46173</x:v>
      </x:c>
      <x:c r="T79" s="62" t="n">
        <x:v>46178</x:v>
      </x:c>
      <x:c r="U79" s="62" t="n">
        <x:v>46178</x:v>
      </x:c>
      <x:c r="V79" s="62" t="n">
        <x:v>46179</x:v>
      </x:c>
      <x:c r="W79" s="62" t="n">
        <x:v>46211</x:v>
      </x:c>
      <x:c r="X79" s="62"/>
      <x:c r="Y79" s="60" t="str">
        <x:v>国际运输</x:v>
      </x:c>
      <x:c r="Z79" s="60" t="str">
        <x:v>运输中</x:v>
      </x:c>
      <x:c r="AA79" s="60" t="str">
        <x:v>已完成</x:v>
      </x:c>
      <x:c r="AB79" s="60" t="str">
        <x:v>已完成</x:v>
      </x:c>
      <x:c r="AC79" s="60" t="str">
        <x:v>已完成</x:v>
      </x:c>
      <x:c r="AD79" s="60" t="str">
        <x:v>已完成</x:v>
      </x:c>
      <x:c r="AE79" s="60" t="str">
        <x:v>已完成</x:v>
      </x:c>
      <x:c r="AF79" s="81" t="n">
        <x:f>COUNTIF(AA79:AE79,"已完成")/5</x:f>
        <x:v>1</x:v>
      </x:c>
      <x:c r="AG79" s="75" t="str">
        <x:f>IF(U79&lt;&gt;"","",T79-'基础参数'!$O$2)</x:f>
      </x:c>
      <x:c r="AH79" s="75" t="str">
        <x:f>IF(X79&lt;&gt;"","已完成",IF(U79&lt;&gt;"",IF(U79&gt;T79,"延迟出库","运输中"),IF(T79&lt;'基础参数'!$O$2,"已逾期",IF(T79-'基础参数'!$O$2&lt;=2,"红色预警",IF(T79-'基础参数'!$O$2&lt;=7,"黄色预警","正常")))))</x:f>
        <x:v>运输中</x:v>
      </x:c>
      <x:c r="AI79" s="27" t="str">
        <x:v>无异常</x:v>
      </x:c>
      <x:c r="AJ79" s="27" t="str">
        <x:v>-</x:v>
      </x:c>
      <x:c r="AK79" s="75" t="str">
        <x:f>IFERROR(VLOOKUP(AI79,'基础参数'!$N$5:$S$19,4,FALSE),"-")</x:f>
        <x:v>-</x:v>
      </x:c>
      <x:c r="AL79" s="33"/>
      <x:c r="AM79" s="27" t="str">
        <x:v>不适用</x:v>
      </x:c>
      <x:c r="AN79" s="27" t="str">
        <x:v>无异常</x:v>
      </x:c>
      <x:c r="AO79" s="69" t="str"/>
      <x:c r="AP79" s="69" t="str"/>
      <x:c r="AQ79" s="75" t="str">
        <x:f>IF(X79="","",IF(X79&lt;=W79,"是","否"))</x:f>
      </x:c>
      <x:c r="AR79" s="75" t="str">
        <x:f>IFERROR(VLOOKUP(AI79,'基础参数'!$N$5:$S$19,2,FALSE),"无异常")</x:f>
        <x:v>无异常</x:v>
      </x:c>
    </x:row>
    <x:row r="80" ht="34" customHeight="1">
      <x:c r="A80" s="49" t="str">
        <x:v>PO-26-075</x:v>
      </x:c>
      <x:c r="B80" s="50" t="n">
        <x:v>46154</x:v>
      </x:c>
      <x:c r="C80" s="72" t="str">
        <x:v>C012</x:v>
      </x:c>
      <x:c r="D80" s="75" t="str">
        <x:f>IFERROR(VLOOKUP(C80,'基础参数'!$A$5:$E$22,2,FALSE),"")</x:f>
        <x:v>Outback Living Pty</x:v>
      </x:c>
      <x:c r="E80" s="75" t="str">
        <x:f>IFERROR(VLOOKUP(C80,'基础参数'!$A$5:$E$22,3,FALSE),"")</x:f>
        <x:v>澳大利亚</x:v>
      </x:c>
      <x:c r="F80" s="75" t="str">
        <x:f>IFERROR(VLOOKUP(C80,'基础参数'!$A$5:$E$22,4,FALSE),"")</x:f>
        <x:v>澳洲</x:v>
      </x:c>
      <x:c r="G80" s="72" t="str">
        <x:v>SLP-120</x:v>
      </x:c>
      <x:c r="H80" s="75" t="str">
        <x:f>IFERROR(VLOOKUP(G80,'基础参数'!$G$5:$L$16,2,FALSE),"")</x:f>
        <x:v>三季木乃伊睡袋</x:v>
      </x:c>
      <x:c r="I80" s="75" t="str">
        <x:f>IFERROR(VLOOKUP(G80,'基础参数'!$G$5:$L$16,3,FALSE),"")</x:f>
        <x:v>睡袋</x:v>
      </x:c>
      <x:c r="J80" s="58" t="n">
        <x:v>1350</x:v>
      </x:c>
      <x:c r="K80" s="59" t="n">
        <x:v>31.72</x:v>
      </x:c>
      <x:c r="L80" s="60" t="str">
        <x:v>USD</x:v>
      </x:c>
      <x:c r="M80" s="78" t="n">
        <x:f>J80*K80</x:f>
        <x:v>42822</x:v>
      </x:c>
      <x:c r="N80" s="60" t="str">
        <x:v>FOB</x:v>
      </x:c>
      <x:c r="O80" s="60" t="str">
        <x:v>海运</x:v>
      </x:c>
      <x:c r="P80" s="60" t="str">
        <x:v>ONE</x:v>
      </x:c>
      <x:c r="Q80" s="60" t="str">
        <x:v>已收定金</x:v>
      </x:c>
      <x:c r="R80" s="62" t="n">
        <x:v>46183</x:v>
      </x:c>
      <x:c r="S80" s="62"/>
      <x:c r="T80" s="62" t="n">
        <x:v>46187</x:v>
      </x:c>
      <x:c r="U80" s="62"/>
      <x:c r="V80" s="62" t="n">
        <x:v>46188</x:v>
      </x:c>
      <x:c r="W80" s="62" t="n">
        <x:v>46220</x:v>
      </x:c>
      <x:c r="X80" s="62"/>
      <x:c r="Y80" s="60" t="str">
        <x:v>生产中</x:v>
      </x:c>
      <x:c r="Z80" s="60" t="str">
        <x:v>待出运</x:v>
      </x:c>
      <x:c r="AA80" s="60" t="str">
        <x:v>已完成</x:v>
      </x:c>
      <x:c r="AB80" s="60" t="str">
        <x:v>已完成</x:v>
      </x:c>
      <x:c r="AC80" s="60" t="str">
        <x:v>已完成</x:v>
      </x:c>
      <x:c r="AD80" s="60" t="str">
        <x:v>待补充</x:v>
      </x:c>
      <x:c r="AE80" s="60" t="str">
        <x:v>待补充</x:v>
      </x:c>
      <x:c r="AF80" s="81" t="n">
        <x:f>COUNTIF(AA80:AE80,"已完成")/5</x:f>
        <x:v>0.6</x:v>
      </x:c>
      <x:c r="AG80" s="75" t="n">
        <x:f>IF(U80&lt;&gt;"","",T80-'基础参数'!$O$2)</x:f>
        <x:v>-9</x:v>
      </x:c>
      <x:c r="AH80" s="75" t="str">
        <x:f>IF(X80&lt;&gt;"","已完成",IF(U80&lt;&gt;"",IF(U80&gt;T80,"延迟出库","运输中"),IF(T80&lt;'基础参数'!$O$2,"已逾期",IF(T80-'基础参数'!$O$2&lt;=2,"红色预警",IF(T80-'基础参数'!$O$2&lt;=7,"黄色预警","正常")))))</x:f>
        <x:v>已逾期</x:v>
      </x:c>
      <x:c r="AI80" s="27" t="str">
        <x:v>品质返工</x:v>
      </x:c>
      <x:c r="AJ80" s="27" t="str">
        <x:v>A级</x:v>
      </x:c>
      <x:c r="AK80" s="75" t="str">
        <x:f>IFERROR(VLOOKUP(AI80,'基础参数'!$N$5:$S$19,4,FALSE),"-")</x:f>
        <x:v>品质主管</x:v>
      </x:c>
      <x:c r="AL80" s="33" t="n">
        <x:v>46189</x:v>
      </x:c>
      <x:c r="AM80" s="27" t="str">
        <x:v>待通知</x:v>
      </x:c>
      <x:c r="AN80" s="27" t="str">
        <x:v>待处理</x:v>
      </x:c>
      <x:c r="AO80" s="69" t="str">
        <x:v>品质返工导致计划节点存在重大偏差</x:v>
      </x:c>
      <x:c r="AP80" s="69" t="str">
        <x:v>正在协调恢复方案</x:v>
      </x:c>
      <x:c r="AQ80" s="75" t="str">
        <x:f>IF(X80="","",IF(X80&lt;=W80,"是","否"))</x:f>
      </x:c>
      <x:c r="AR80" s="75" t="str">
        <x:f>IFERROR(VLOOKUP(AI80,'基础参数'!$N$5:$S$19,2,FALSE),"无异常")</x:f>
        <x:v>生产与备货</x:v>
      </x:c>
    </x:row>
    <x:row r="81" ht="34" customHeight="1">
      <x:c r="A81" s="49" t="str">
        <x:v>PO-26-076</x:v>
      </x:c>
      <x:c r="B81" s="50" t="n">
        <x:v>46156</x:v>
      </x:c>
      <x:c r="C81" s="72" t="str">
        <x:v>C002</x:v>
      </x:c>
      <x:c r="D81" s="75" t="str">
        <x:f>IFERROR(VLOOKUP(C81,'基础参数'!$A$5:$E$22,2,FALSE),"")</x:f>
        <x:v>Alpine Base SAS</x:v>
      </x:c>
      <x:c r="E81" s="75" t="str">
        <x:f>IFERROR(VLOOKUP(C81,'基础参数'!$A$5:$E$22,3,FALSE),"")</x:f>
        <x:v>法国</x:v>
      </x:c>
      <x:c r="F81" s="75" t="str">
        <x:f>IFERROR(VLOOKUP(C81,'基础参数'!$A$5:$E$22,4,FALSE),"")</x:f>
        <x:v>欧洲</x:v>
      </x:c>
      <x:c r="G81" s="72" t="str">
        <x:v>LGT-240</x:v>
      </x:c>
      <x:c r="H81" s="75" t="str">
        <x:f>IFERROR(VLOOKUP(G81,'基础参数'!$G$5:$L$16,2,FALSE),"")</x:f>
        <x:v>太阳能营地灯串</x:v>
      </x:c>
      <x:c r="I81" s="75" t="str">
        <x:f>IFERROR(VLOOKUP(G81,'基础参数'!$G$5:$L$16,3,FALSE),"")</x:f>
        <x:v>露营照明</x:v>
      </x:c>
      <x:c r="J81" s="58" t="n">
        <x:v>1000</x:v>
      </x:c>
      <x:c r="K81" s="59" t="n">
        <x:v>26.06</x:v>
      </x:c>
      <x:c r="L81" s="60" t="str">
        <x:v>EUR</x:v>
      </x:c>
      <x:c r="M81" s="78" t="n">
        <x:f>J81*K81</x:f>
        <x:v>26060</x:v>
      </x:c>
      <x:c r="N81" s="60" t="str">
        <x:v>FOB</x:v>
      </x:c>
      <x:c r="O81" s="60" t="str">
        <x:v>海运</x:v>
      </x:c>
      <x:c r="P81" s="60" t="str">
        <x:v>ONE</x:v>
      </x:c>
      <x:c r="Q81" s="60" t="str">
        <x:v>已收款</x:v>
      </x:c>
      <x:c r="R81" s="62" t="n">
        <x:v>46181</x:v>
      </x:c>
      <x:c r="S81" s="62" t="n">
        <x:v>46180</x:v>
      </x:c>
      <x:c r="T81" s="62" t="n">
        <x:v>46185</x:v>
      </x:c>
      <x:c r="U81" s="62" t="n">
        <x:v>46186</x:v>
      </x:c>
      <x:c r="V81" s="62" t="n">
        <x:v>46187</x:v>
      </x:c>
      <x:c r="W81" s="62" t="n">
        <x:v>46219</x:v>
      </x:c>
      <x:c r="X81" s="62"/>
      <x:c r="Y81" s="60" t="str">
        <x:v>国际运输</x:v>
      </x:c>
      <x:c r="Z81" s="60" t="str">
        <x:v>运输中</x:v>
      </x:c>
      <x:c r="AA81" s="60" t="str">
        <x:v>已完成</x:v>
      </x:c>
      <x:c r="AB81" s="60" t="str">
        <x:v>已完成</x:v>
      </x:c>
      <x:c r="AC81" s="60" t="str">
        <x:v>已完成</x:v>
      </x:c>
      <x:c r="AD81" s="60" t="str">
        <x:v>已完成</x:v>
      </x:c>
      <x:c r="AE81" s="60" t="str">
        <x:v>已完成</x:v>
      </x:c>
      <x:c r="AF81" s="81" t="n">
        <x:f>COUNTIF(AA81:AE81,"已完成")/5</x:f>
        <x:v>1</x:v>
      </x:c>
      <x:c r="AG81" s="75" t="str">
        <x:f>IF(U81&lt;&gt;"","",T81-'基础参数'!$O$2)</x:f>
      </x:c>
      <x:c r="AH81" s="75" t="str">
        <x:f>IF(X81&lt;&gt;"","已完成",IF(U81&lt;&gt;"",IF(U81&gt;T81,"延迟出库","运输中"),IF(T81&lt;'基础参数'!$O$2,"已逾期",IF(T81-'基础参数'!$O$2&lt;=2,"红色预警",IF(T81-'基础参数'!$O$2&lt;=7,"黄色预警","正常")))))</x:f>
        <x:v>延迟出库</x:v>
      </x:c>
      <x:c r="AI81" s="27" t="str">
        <x:v>无异常</x:v>
      </x:c>
      <x:c r="AJ81" s="27" t="str">
        <x:v>-</x:v>
      </x:c>
      <x:c r="AK81" s="75" t="str">
        <x:f>IFERROR(VLOOKUP(AI81,'基础参数'!$N$5:$S$19,4,FALSE),"-")</x:f>
        <x:v>-</x:v>
      </x:c>
      <x:c r="AL81" s="33"/>
      <x:c r="AM81" s="27" t="str">
        <x:v>不适用</x:v>
      </x:c>
      <x:c r="AN81" s="27" t="str">
        <x:v>无异常</x:v>
      </x:c>
      <x:c r="AO81" s="69" t="str"/>
      <x:c r="AP81" s="69" t="str"/>
      <x:c r="AQ81" s="75" t="str">
        <x:f>IF(X81="","",IF(X81&lt;=W81,"是","否"))</x:f>
      </x:c>
      <x:c r="AR81" s="75" t="str">
        <x:f>IFERROR(VLOOKUP(AI81,'基础参数'!$N$5:$S$19,2,FALSE),"无异常")</x:f>
        <x:v>无异常</x:v>
      </x:c>
    </x:row>
    <x:row r="82" ht="34" customHeight="1">
      <x:c r="A82" s="49" t="str">
        <x:v>PO-26-077</x:v>
      </x:c>
      <x:c r="B82" s="50" t="n">
        <x:v>46158</x:v>
      </x:c>
      <x:c r="C82" s="72" t="str">
        <x:v>C006</x:v>
      </x:c>
      <x:c r="D82" s="75" t="str">
        <x:f>IFERROR(VLOOKUP(C82,'基础参数'!$A$5:$E$22,2,FALSE),"")</x:f>
        <x:v>Iberia Trek SL</x:v>
      </x:c>
      <x:c r="E82" s="75" t="str">
        <x:f>IFERROR(VLOOKUP(C82,'基础参数'!$A$5:$E$22,3,FALSE),"")</x:f>
        <x:v>西班牙</x:v>
      </x:c>
      <x:c r="F82" s="75" t="str">
        <x:f>IFERROR(VLOOKUP(C82,'基础参数'!$A$5:$E$22,4,FALSE),"")</x:f>
        <x:v>欧洲</x:v>
      </x:c>
      <x:c r="G82" s="72" t="str">
        <x:v>SLP-120</x:v>
      </x:c>
      <x:c r="H82" s="75" t="str">
        <x:f>IFERROR(VLOOKUP(G82,'基础参数'!$G$5:$L$16,2,FALSE),"")</x:f>
        <x:v>三季木乃伊睡袋</x:v>
      </x:c>
      <x:c r="I82" s="75" t="str">
        <x:f>IFERROR(VLOOKUP(G82,'基础参数'!$G$5:$L$16,3,FALSE),"")</x:f>
        <x:v>睡袋</x:v>
      </x:c>
      <x:c r="J82" s="58" t="n">
        <x:v>2050</x:v>
      </x:c>
      <x:c r="K82" s="59" t="n">
        <x:v>33.84</x:v>
      </x:c>
      <x:c r="L82" s="60" t="str">
        <x:v>EUR</x:v>
      </x:c>
      <x:c r="M82" s="78" t="n">
        <x:f>J82*K82</x:f>
        <x:v>69372</x:v>
      </x:c>
      <x:c r="N82" s="60" t="str">
        <x:v>FOB</x:v>
      </x:c>
      <x:c r="O82" s="60" t="str">
        <x:v>国际快递</x:v>
      </x:c>
      <x:c r="P82" s="60" t="str">
        <x:v>DHL Express</x:v>
      </x:c>
      <x:c r="Q82" s="60" t="str">
        <x:v>已收款</x:v>
      </x:c>
      <x:c r="R82" s="62" t="n">
        <x:v>46187</x:v>
      </x:c>
      <x:c r="S82" s="62" t="n">
        <x:v>46185</x:v>
      </x:c>
      <x:c r="T82" s="62" t="n">
        <x:v>46191</x:v>
      </x:c>
      <x:c r="U82" s="62" t="n">
        <x:v>46190</x:v>
      </x:c>
      <x:c r="V82" s="62" t="n">
        <x:v>46191</x:v>
      </x:c>
      <x:c r="W82" s="62" t="n">
        <x:v>46196</x:v>
      </x:c>
      <x:c r="X82" s="62"/>
      <x:c r="Y82" s="60" t="str">
        <x:v>国际运输</x:v>
      </x:c>
      <x:c r="Z82" s="60" t="str">
        <x:v>运输中</x:v>
      </x:c>
      <x:c r="AA82" s="60" t="str">
        <x:v>已完成</x:v>
      </x:c>
      <x:c r="AB82" s="60" t="str">
        <x:v>已完成</x:v>
      </x:c>
      <x:c r="AC82" s="60" t="str">
        <x:v>已完成</x:v>
      </x:c>
      <x:c r="AD82" s="60" t="str">
        <x:v>已完成</x:v>
      </x:c>
      <x:c r="AE82" s="60" t="str">
        <x:v>已完成</x:v>
      </x:c>
      <x:c r="AF82" s="81" t="n">
        <x:f>COUNTIF(AA82:AE82,"已完成")/5</x:f>
        <x:v>1</x:v>
      </x:c>
      <x:c r="AG82" s="75" t="str">
        <x:f>IF(U82&lt;&gt;"","",T82-'基础参数'!$O$2)</x:f>
      </x:c>
      <x:c r="AH82" s="75" t="str">
        <x:f>IF(X82&lt;&gt;"","已完成",IF(U82&lt;&gt;"",IF(U82&gt;T82,"延迟出库","运输中"),IF(T82&lt;'基础参数'!$O$2,"已逾期",IF(T82-'基础参数'!$O$2&lt;=2,"红色预警",IF(T82-'基础参数'!$O$2&lt;=7,"黄色预警","正常")))))</x:f>
        <x:v>运输中</x:v>
      </x:c>
      <x:c r="AI82" s="27" t="str">
        <x:v>无异常</x:v>
      </x:c>
      <x:c r="AJ82" s="27" t="str">
        <x:v>-</x:v>
      </x:c>
      <x:c r="AK82" s="75" t="str">
        <x:f>IFERROR(VLOOKUP(AI82,'基础参数'!$N$5:$S$19,4,FALSE),"-")</x:f>
        <x:v>-</x:v>
      </x:c>
      <x:c r="AL82" s="33"/>
      <x:c r="AM82" s="27" t="str">
        <x:v>不适用</x:v>
      </x:c>
      <x:c r="AN82" s="27" t="str">
        <x:v>无异常</x:v>
      </x:c>
      <x:c r="AO82" s="69" t="str"/>
      <x:c r="AP82" s="69" t="str"/>
      <x:c r="AQ82" s="75" t="str">
        <x:f>IF(X82="","",IF(X82&lt;=W82,"是","否"))</x:f>
      </x:c>
      <x:c r="AR82" s="75" t="str">
        <x:f>IFERROR(VLOOKUP(AI82,'基础参数'!$N$5:$S$19,2,FALSE),"无异常")</x:f>
        <x:v>无异常</x:v>
      </x:c>
    </x:row>
    <x:row r="83" ht="34" customHeight="1">
      <x:c r="A83" s="49" t="str">
        <x:v>PO-26-078</x:v>
      </x:c>
      <x:c r="B83" s="50" t="n">
        <x:v>46159</x:v>
      </x:c>
      <x:c r="C83" s="72" t="str">
        <x:v>C008</x:v>
      </x:c>
      <x:c r="D83" s="75" t="str">
        <x:f>IFERROR(VLOOKUP(C83,'基础参数'!$A$5:$E$22,2,FALSE),"")</x:f>
        <x:v>Camp Harbor LLC</x:v>
      </x:c>
      <x:c r="E83" s="75" t="str">
        <x:f>IFERROR(VLOOKUP(C83,'基础参数'!$A$5:$E$22,3,FALSE),"")</x:f>
        <x:v>美国</x:v>
      </x:c>
      <x:c r="F83" s="75" t="str">
        <x:f>IFERROR(VLOOKUP(C83,'基础参数'!$A$5:$E$22,4,FALSE),"")</x:f>
        <x:v>北美</x:v>
      </x:c>
      <x:c r="G83" s="72" t="str">
        <x:v>TEN-210</x:v>
      </x:c>
      <x:c r="H83" s="75" t="str">
        <x:f>IFERROR(VLOOKUP(G83,'基础参数'!$G$5:$L$16,2,FALSE),"")</x:f>
        <x:v>双人轻量帐篷</x:v>
      </x:c>
      <x:c r="I83" s="75" t="str">
        <x:f>IFERROR(VLOOKUP(G83,'基础参数'!$G$5:$L$16,3,FALSE),"")</x:f>
        <x:v>帐篷</x:v>
      </x:c>
      <x:c r="J83" s="58" t="n">
        <x:v>900</x:v>
      </x:c>
      <x:c r="K83" s="59" t="n">
        <x:v>61.08</x:v>
      </x:c>
      <x:c r="L83" s="60" t="str">
        <x:v>USD</x:v>
      </x:c>
      <x:c r="M83" s="78" t="n">
        <x:f>J83*K83</x:f>
        <x:v>54972</x:v>
      </x:c>
      <x:c r="N83" s="60" t="str">
        <x:v>FOB</x:v>
      </x:c>
      <x:c r="O83" s="60" t="str">
        <x:v>海运</x:v>
      </x:c>
      <x:c r="P83" s="60" t="str">
        <x:v>ONE</x:v>
      </x:c>
      <x:c r="Q83" s="60" t="str">
        <x:v>已收款</x:v>
      </x:c>
      <x:c r="R83" s="62" t="n">
        <x:v>46191</x:v>
      </x:c>
      <x:c r="S83" s="62" t="n">
        <x:v>46191</x:v>
      </x:c>
      <x:c r="T83" s="62" t="n">
        <x:v>46195</x:v>
      </x:c>
      <x:c r="U83" s="62" t="n">
        <x:v>46195</x:v>
      </x:c>
      <x:c r="V83" s="62" t="n">
        <x:v>46196</x:v>
      </x:c>
      <x:c r="W83" s="62" t="n">
        <x:v>46228</x:v>
      </x:c>
      <x:c r="X83" s="62"/>
      <x:c r="Y83" s="60" t="str">
        <x:v>国际运输</x:v>
      </x:c>
      <x:c r="Z83" s="60" t="str">
        <x:v>运输中</x:v>
      </x:c>
      <x:c r="AA83" s="60" t="str">
        <x:v>已完成</x:v>
      </x:c>
      <x:c r="AB83" s="60" t="str">
        <x:v>已完成</x:v>
      </x:c>
      <x:c r="AC83" s="60" t="str">
        <x:v>已完成</x:v>
      </x:c>
      <x:c r="AD83" s="60" t="str">
        <x:v>已完成</x:v>
      </x:c>
      <x:c r="AE83" s="60" t="str">
        <x:v>已完成</x:v>
      </x:c>
      <x:c r="AF83" s="81" t="n">
        <x:f>COUNTIF(AA83:AE83,"已完成")/5</x:f>
        <x:v>1</x:v>
      </x:c>
      <x:c r="AG83" s="75" t="str">
        <x:f>IF(U83&lt;&gt;"","",T83-'基础参数'!$O$2)</x:f>
      </x:c>
      <x:c r="AH83" s="75" t="str">
        <x:f>IF(X83&lt;&gt;"","已完成",IF(U83&lt;&gt;"",IF(U83&gt;T83,"延迟出库","运输中"),IF(T83&lt;'基础参数'!$O$2,"已逾期",IF(T83-'基础参数'!$O$2&lt;=2,"红色预警",IF(T83-'基础参数'!$O$2&lt;=7,"黄色预警","正常")))))</x:f>
        <x:v>运输中</x:v>
      </x:c>
      <x:c r="AI83" s="27" t="str">
        <x:v>无异常</x:v>
      </x:c>
      <x:c r="AJ83" s="27" t="str">
        <x:v>-</x:v>
      </x:c>
      <x:c r="AK83" s="75" t="str">
        <x:f>IFERROR(VLOOKUP(AI83,'基础参数'!$N$5:$S$19,4,FALSE),"-")</x:f>
        <x:v>-</x:v>
      </x:c>
      <x:c r="AL83" s="33"/>
      <x:c r="AM83" s="27" t="str">
        <x:v>不适用</x:v>
      </x:c>
      <x:c r="AN83" s="27" t="str">
        <x:v>无异常</x:v>
      </x:c>
      <x:c r="AO83" s="69" t="str"/>
      <x:c r="AP83" s="69" t="str"/>
      <x:c r="AQ83" s="75" t="str">
        <x:f>IF(X83="","",IF(X83&lt;=W83,"是","否"))</x:f>
      </x:c>
      <x:c r="AR83" s="75" t="str">
        <x:f>IFERROR(VLOOKUP(AI83,'基础参数'!$N$5:$S$19,2,FALSE),"无异常")</x:f>
        <x:v>无异常</x:v>
      </x:c>
    </x:row>
    <x:row r="84" ht="34" customHeight="1">
      <x:c r="A84" s="49" t="str">
        <x:v>PO-26-079</x:v>
      </x:c>
      <x:c r="B84" s="50" t="n">
        <x:v>46161</x:v>
      </x:c>
      <x:c r="C84" s="72" t="str">
        <x:v>C014</x:v>
      </x:c>
      <x:c r="D84" s="75" t="str">
        <x:f>IFERROR(VLOOKUP(C84,'基础参数'!$A$5:$E$22,2,FALSE),"")</x:f>
        <x:v>Kiwi Trek Ltd.</x:v>
      </x:c>
      <x:c r="E84" s="75" t="str">
        <x:f>IFERROR(VLOOKUP(C84,'基础参数'!$A$5:$E$22,3,FALSE),"")</x:f>
        <x:v>新西兰</x:v>
      </x:c>
      <x:c r="F84" s="75" t="str">
        <x:f>IFERROR(VLOOKUP(C84,'基础参数'!$A$5:$E$22,4,FALSE),"")</x:f>
        <x:v>澳洲</x:v>
      </x:c>
      <x:c r="G84" s="72" t="str">
        <x:v>LGT-240</x:v>
      </x:c>
      <x:c r="H84" s="75" t="str">
        <x:f>IFERROR(VLOOKUP(G84,'基础参数'!$G$5:$L$16,2,FALSE),"")</x:f>
        <x:v>太阳能营地灯串</x:v>
      </x:c>
      <x:c r="I84" s="75" t="str">
        <x:f>IFERROR(VLOOKUP(G84,'基础参数'!$G$5:$L$16,3,FALSE),"")</x:f>
        <x:v>露营照明</x:v>
      </x:c>
      <x:c r="J84" s="58" t="n">
        <x:v>900</x:v>
      </x:c>
      <x:c r="K84" s="59" t="n">
        <x:v>25.46</x:v>
      </x:c>
      <x:c r="L84" s="60" t="str">
        <x:v>USD</x:v>
      </x:c>
      <x:c r="M84" s="78" t="n">
        <x:f>J84*K84</x:f>
        <x:v>22914</x:v>
      </x:c>
      <x:c r="N84" s="60" t="str">
        <x:v>CIF</x:v>
      </x:c>
      <x:c r="O84" s="60" t="str">
        <x:v>空运</x:v>
      </x:c>
      <x:c r="P84" s="60" t="str">
        <x:v>Kuehne+Nagel</x:v>
      </x:c>
      <x:c r="Q84" s="60" t="str">
        <x:v>已收款</x:v>
      </x:c>
      <x:c r="R84" s="62" t="n">
        <x:v>46186</x:v>
      </x:c>
      <x:c r="S84" s="62" t="n">
        <x:v>46184</x:v>
      </x:c>
      <x:c r="T84" s="62" t="n">
        <x:v>46190</x:v>
      </x:c>
      <x:c r="U84" s="62" t="n">
        <x:v>46190</x:v>
      </x:c>
      <x:c r="V84" s="62" t="n">
        <x:v>46191</x:v>
      </x:c>
      <x:c r="W84" s="62" t="n">
        <x:v>46199</x:v>
      </x:c>
      <x:c r="X84" s="62"/>
      <x:c r="Y84" s="60" t="str">
        <x:v>国际运输</x:v>
      </x:c>
      <x:c r="Z84" s="60" t="str">
        <x:v>运输中</x:v>
      </x:c>
      <x:c r="AA84" s="60" t="str">
        <x:v>已完成</x:v>
      </x:c>
      <x:c r="AB84" s="60" t="str">
        <x:v>已完成</x:v>
      </x:c>
      <x:c r="AC84" s="60" t="str">
        <x:v>已完成</x:v>
      </x:c>
      <x:c r="AD84" s="60" t="str">
        <x:v>已完成</x:v>
      </x:c>
      <x:c r="AE84" s="60" t="str">
        <x:v>已完成</x:v>
      </x:c>
      <x:c r="AF84" s="81" t="n">
        <x:f>COUNTIF(AA84:AE84,"已完成")/5</x:f>
        <x:v>1</x:v>
      </x:c>
      <x:c r="AG84" s="75" t="str">
        <x:f>IF(U84&lt;&gt;"","",T84-'基础参数'!$O$2)</x:f>
      </x:c>
      <x:c r="AH84" s="75" t="str">
        <x:f>IF(X84&lt;&gt;"","已完成",IF(U84&lt;&gt;"",IF(U84&gt;T84,"延迟出库","运输中"),IF(T84&lt;'基础参数'!$O$2,"已逾期",IF(T84-'基础参数'!$O$2&lt;=2,"红色预警",IF(T84-'基础参数'!$O$2&lt;=7,"黄色预警","正常")))))</x:f>
        <x:v>运输中</x:v>
      </x:c>
      <x:c r="AI84" s="27" t="str">
        <x:v>无异常</x:v>
      </x:c>
      <x:c r="AJ84" s="27" t="str">
        <x:v>-</x:v>
      </x:c>
      <x:c r="AK84" s="75" t="str">
        <x:f>IFERROR(VLOOKUP(AI84,'基础参数'!$N$5:$S$19,4,FALSE),"-")</x:f>
        <x:v>-</x:v>
      </x:c>
      <x:c r="AL84" s="33"/>
      <x:c r="AM84" s="27" t="str">
        <x:v>不适用</x:v>
      </x:c>
      <x:c r="AN84" s="27" t="str">
        <x:v>无异常</x:v>
      </x:c>
      <x:c r="AO84" s="69" t="str"/>
      <x:c r="AP84" s="69" t="str"/>
      <x:c r="AQ84" s="75" t="str">
        <x:f>IF(X84="","",IF(X84&lt;=W84,"是","否"))</x:f>
      </x:c>
      <x:c r="AR84" s="75" t="str">
        <x:f>IFERROR(VLOOKUP(AI84,'基础参数'!$N$5:$S$19,2,FALSE),"无异常")</x:f>
        <x:v>无异常</x:v>
      </x:c>
    </x:row>
    <x:row r="85" ht="34" customHeight="1">
      <x:c r="A85" s="49" t="str">
        <x:v>PO-26-080</x:v>
      </x:c>
      <x:c r="B85" s="50" t="n">
        <x:v>46163</x:v>
      </x:c>
      <x:c r="C85" s="72" t="str">
        <x:v>C001</x:v>
      </x:c>
      <x:c r="D85" s="75" t="str">
        <x:f>IFERROR(VLOOKUP(C85,'基础参数'!$A$5:$E$22,2,FALSE),"")</x:f>
        <x:v>NordTrail GmbH</x:v>
      </x:c>
      <x:c r="E85" s="75" t="str">
        <x:f>IFERROR(VLOOKUP(C85,'基础参数'!$A$5:$E$22,3,FALSE),"")</x:f>
        <x:v>德国</x:v>
      </x:c>
      <x:c r="F85" s="75" t="str">
        <x:f>IFERROR(VLOOKUP(C85,'基础参数'!$A$5:$E$22,4,FALSE),"")</x:f>
        <x:v>欧洲</x:v>
      </x:c>
      <x:c r="G85" s="72" t="str">
        <x:v>TEN-410</x:v>
      </x:c>
      <x:c r="H85" s="75" t="str">
        <x:f>IFERROR(VLOOKUP(G85,'基础参数'!$G$5:$L$16,2,FALSE),"")</x:f>
        <x:v>四人家庭帐篷</x:v>
      </x:c>
      <x:c r="I85" s="75" t="str">
        <x:f>IFERROR(VLOOKUP(G85,'基础参数'!$G$5:$L$16,3,FALSE),"")</x:f>
        <x:v>帐篷</x:v>
      </x:c>
      <x:c r="J85" s="58" t="n">
        <x:v>800</x:v>
      </x:c>
      <x:c r="K85" s="59" t="n">
        <x:v>102.87</x:v>
      </x:c>
      <x:c r="L85" s="60" t="str">
        <x:v>EUR</x:v>
      </x:c>
      <x:c r="M85" s="78" t="n">
        <x:f>J85*K85</x:f>
        <x:v>82296</x:v>
      </x:c>
      <x:c r="N85" s="60" t="str">
        <x:v>DDP</x:v>
      </x:c>
      <x:c r="O85" s="60" t="str">
        <x:v>海运</x:v>
      </x:c>
      <x:c r="P85" s="60" t="str">
        <x:v>COSCO</x:v>
      </x:c>
      <x:c r="Q85" s="60" t="str">
        <x:v>已收定金</x:v>
      </x:c>
      <x:c r="R85" s="62" t="n">
        <x:v>46201</x:v>
      </x:c>
      <x:c r="S85" s="62" t="n">
        <x:v>46200</x:v>
      </x:c>
      <x:c r="T85" s="62" t="n">
        <x:v>46205</x:v>
      </x:c>
      <x:c r="U85" s="62"/>
      <x:c r="V85" s="62" t="n">
        <x:v>46206</x:v>
      </x:c>
      <x:c r="W85" s="62" t="n">
        <x:v>46238</x:v>
      </x:c>
      <x:c r="X85" s="62"/>
      <x:c r="Y85" s="60" t="str">
        <x:v>待出库</x:v>
      </x:c>
      <x:c r="Z85" s="60" t="str">
        <x:v>待出运</x:v>
      </x:c>
      <x:c r="AA85" s="60" t="str">
        <x:v>已完成</x:v>
      </x:c>
      <x:c r="AB85" s="60" t="str">
        <x:v>已完成</x:v>
      </x:c>
      <x:c r="AC85" s="60" t="str">
        <x:v>待补充</x:v>
      </x:c>
      <x:c r="AD85" s="60" t="str">
        <x:v>待补充</x:v>
      </x:c>
      <x:c r="AE85" s="60" t="str">
        <x:v>待补充</x:v>
      </x:c>
      <x:c r="AF85" s="81" t="n">
        <x:f>COUNTIF(AA85:AE85,"已完成")/5</x:f>
        <x:v>0.4</x:v>
      </x:c>
      <x:c r="AG85" s="75" t="n">
        <x:f>IF(U85&lt;&gt;"","",T85-'基础参数'!$O$2)</x:f>
        <x:v>9</x:v>
      </x:c>
      <x:c r="AH85" s="75" t="str">
        <x:f>IF(X85&lt;&gt;"","已完成",IF(U85&lt;&gt;"",IF(U85&gt;T85,"延迟出库","运输中"),IF(T85&lt;'基础参数'!$O$2,"已逾期",IF(T85-'基础参数'!$O$2&lt;=2,"红色预警",IF(T85-'基础参数'!$O$2&lt;=7,"黄色预警","正常")))))</x:f>
        <x:v>正常</x:v>
      </x:c>
      <x:c r="AI85" s="27" t="str">
        <x:v>舱位不足</x:v>
      </x:c>
      <x:c r="AJ85" s="27" t="str">
        <x:v>B级</x:v>
      </x:c>
      <x:c r="AK85" s="75" t="str">
        <x:f>IFERROR(VLOOKUP(AI85,'基础参数'!$N$5:$S$19,4,FALSE),"-")</x:f>
        <x:v>物流操作</x:v>
      </x:c>
      <x:c r="AL85" s="33" t="n">
        <x:v>46207</x:v>
      </x:c>
      <x:c r="AM85" s="27" t="str">
        <x:v>已通知</x:v>
      </x:c>
      <x:c r="AN85" s="27" t="str">
        <x:v>处理中</x:v>
      </x:c>
      <x:c r="AO85" s="69" t="str">
        <x:v>舱位不足导致计划节点存在一般偏差</x:v>
      </x:c>
      <x:c r="AP85" s="69" t="str">
        <x:v>正在协调恢复方案</x:v>
      </x:c>
      <x:c r="AQ85" s="75" t="str">
        <x:f>IF(X85="","",IF(X85&lt;=W85,"是","否"))</x:f>
      </x:c>
      <x:c r="AR85" s="75" t="str">
        <x:f>IFERROR(VLOOKUP(AI85,'基础参数'!$N$5:$S$19,2,FALSE),"无异常")</x:f>
        <x:v>出运</x:v>
      </x:c>
    </x:row>
    <x:row r="86" ht="34" customHeight="1">
      <x:c r="A86" s="49" t="str">
        <x:v>PO-26-081</x:v>
      </x:c>
      <x:c r="B86" s="50" t="n">
        <x:v>46165</x:v>
      </x:c>
      <x:c r="C86" s="72" t="str">
        <x:v>C009</x:v>
      </x:c>
      <x:c r="D86" s="75" t="str">
        <x:f>IFERROR(VLOOKUP(C86,'基础参数'!$A$5:$E$22,2,FALSE),"")</x:f>
        <x:v>NorthWood Retail</x:v>
      </x:c>
      <x:c r="E86" s="75" t="str">
        <x:f>IFERROR(VLOOKUP(C86,'基础参数'!$A$5:$E$22,3,FALSE),"")</x:f>
        <x:v>加拿大</x:v>
      </x:c>
      <x:c r="F86" s="75" t="str">
        <x:f>IFERROR(VLOOKUP(C86,'基础参数'!$A$5:$E$22,4,FALSE),"")</x:f>
        <x:v>北美</x:v>
      </x:c>
      <x:c r="G86" s="72" t="str">
        <x:v>LGT-240</x:v>
      </x:c>
      <x:c r="H86" s="75" t="str">
        <x:f>IFERROR(VLOOKUP(G86,'基础参数'!$G$5:$L$16,2,FALSE),"")</x:f>
        <x:v>太阳能营地灯串</x:v>
      </x:c>
      <x:c r="I86" s="75" t="str">
        <x:f>IFERROR(VLOOKUP(G86,'基础参数'!$G$5:$L$16,3,FALSE),"")</x:f>
        <x:v>露营照明</x:v>
      </x:c>
      <x:c r="J86" s="58" t="n">
        <x:v>1350</x:v>
      </x:c>
      <x:c r="K86" s="59" t="n">
        <x:v>25.79</x:v>
      </x:c>
      <x:c r="L86" s="60" t="str">
        <x:v>USD</x:v>
      </x:c>
      <x:c r="M86" s="78" t="n">
        <x:f>J86*K86</x:f>
        <x:v>34816.5</x:v>
      </x:c>
      <x:c r="N86" s="60" t="str">
        <x:v>DDP</x:v>
      </x:c>
      <x:c r="O86" s="60" t="str">
        <x:v>海运</x:v>
      </x:c>
      <x:c r="P86" s="60" t="str">
        <x:v>CMA CGM</x:v>
      </x:c>
      <x:c r="Q86" s="60" t="str">
        <x:v>已收款</x:v>
      </x:c>
      <x:c r="R86" s="62" t="n">
        <x:v>46190</x:v>
      </x:c>
      <x:c r="S86" s="62" t="n">
        <x:v>46190</x:v>
      </x:c>
      <x:c r="T86" s="62" t="n">
        <x:v>46194</x:v>
      </x:c>
      <x:c r="U86" s="62" t="n">
        <x:v>46194</x:v>
      </x:c>
      <x:c r="V86" s="62" t="n">
        <x:v>46195</x:v>
      </x:c>
      <x:c r="W86" s="62" t="n">
        <x:v>46227</x:v>
      </x:c>
      <x:c r="X86" s="62"/>
      <x:c r="Y86" s="60" t="str">
        <x:v>国际运输</x:v>
      </x:c>
      <x:c r="Z86" s="60" t="str">
        <x:v>运输中</x:v>
      </x:c>
      <x:c r="AA86" s="60" t="str">
        <x:v>已完成</x:v>
      </x:c>
      <x:c r="AB86" s="60" t="str">
        <x:v>已完成</x:v>
      </x:c>
      <x:c r="AC86" s="60" t="str">
        <x:v>已完成</x:v>
      </x:c>
      <x:c r="AD86" s="60" t="str">
        <x:v>已完成</x:v>
      </x:c>
      <x:c r="AE86" s="60" t="str">
        <x:v>已完成</x:v>
      </x:c>
      <x:c r="AF86" s="81" t="n">
        <x:f>COUNTIF(AA86:AE86,"已完成")/5</x:f>
        <x:v>1</x:v>
      </x:c>
      <x:c r="AG86" s="75" t="str">
        <x:f>IF(U86&lt;&gt;"","",T86-'基础参数'!$O$2)</x:f>
      </x:c>
      <x:c r="AH86" s="75" t="str">
        <x:f>IF(X86&lt;&gt;"","已完成",IF(U86&lt;&gt;"",IF(U86&gt;T86,"延迟出库","运输中"),IF(T86&lt;'基础参数'!$O$2,"已逾期",IF(T86-'基础参数'!$O$2&lt;=2,"红色预警",IF(T86-'基础参数'!$O$2&lt;=7,"黄色预警","正常")))))</x:f>
        <x:v>运输中</x:v>
      </x:c>
      <x:c r="AI86" s="27" t="str">
        <x:v>无异常</x:v>
      </x:c>
      <x:c r="AJ86" s="27" t="str">
        <x:v>-</x:v>
      </x:c>
      <x:c r="AK86" s="75" t="str">
        <x:f>IFERROR(VLOOKUP(AI86,'基础参数'!$N$5:$S$19,4,FALSE),"-")</x:f>
        <x:v>-</x:v>
      </x:c>
      <x:c r="AL86" s="33"/>
      <x:c r="AM86" s="27" t="str">
        <x:v>不适用</x:v>
      </x:c>
      <x:c r="AN86" s="27" t="str">
        <x:v>无异常</x:v>
      </x:c>
      <x:c r="AO86" s="69" t="str"/>
      <x:c r="AP86" s="69" t="str"/>
      <x:c r="AQ86" s="75" t="str">
        <x:f>IF(X86="","",IF(X86&lt;=W86,"是","否"))</x:f>
      </x:c>
      <x:c r="AR86" s="75" t="str">
        <x:f>IFERROR(VLOOKUP(AI86,'基础参数'!$N$5:$S$19,2,FALSE),"无异常")</x:f>
        <x:v>无异常</x:v>
      </x:c>
    </x:row>
    <x:row r="87" ht="34" customHeight="1">
      <x:c r="A87" s="49" t="str">
        <x:v>PO-26-082</x:v>
      </x:c>
      <x:c r="B87" s="50" t="n">
        <x:v>46166</x:v>
      </x:c>
      <x:c r="C87" s="72" t="str">
        <x:v>C012</x:v>
      </x:c>
      <x:c r="D87" s="75" t="str">
        <x:f>IFERROR(VLOOKUP(C87,'基础参数'!$A$5:$E$22,2,FALSE),"")</x:f>
        <x:v>Outback Living Pty</x:v>
      </x:c>
      <x:c r="E87" s="75" t="str">
        <x:f>IFERROR(VLOOKUP(C87,'基础参数'!$A$5:$E$22,3,FALSE),"")</x:f>
        <x:v>澳大利亚</x:v>
      </x:c>
      <x:c r="F87" s="75" t="str">
        <x:f>IFERROR(VLOOKUP(C87,'基础参数'!$A$5:$E$22,4,FALSE),"")</x:f>
        <x:v>澳洲</x:v>
      </x:c>
      <x:c r="G87" s="72" t="str">
        <x:v>TBL-220</x:v>
      </x:c>
      <x:c r="H87" s="75" t="str">
        <x:f>IFERROR(VLOOKUP(G87,'基础参数'!$G$5:$L$16,2,FALSE),"")</x:f>
        <x:v>便携折叠桌</x:v>
      </x:c>
      <x:c r="I87" s="75" t="str">
        <x:f>IFERROR(VLOOKUP(G87,'基础参数'!$G$5:$L$16,3,FALSE),"")</x:f>
        <x:v>折叠家具</x:v>
      </x:c>
      <x:c r="J87" s="58" t="n">
        <x:v>1050</x:v>
      </x:c>
      <x:c r="K87" s="59" t="n">
        <x:v>39.39</x:v>
      </x:c>
      <x:c r="L87" s="60" t="str">
        <x:v>USD</x:v>
      </x:c>
      <x:c r="M87" s="78" t="n">
        <x:f>J87*K87</x:f>
        <x:v>41359.5</x:v>
      </x:c>
      <x:c r="N87" s="60" t="str">
        <x:v>CIF</x:v>
      </x:c>
      <x:c r="O87" s="60" t="str">
        <x:v>国际快递</x:v>
      </x:c>
      <x:c r="P87" s="60" t="str">
        <x:v>DHL Express</x:v>
      </x:c>
      <x:c r="Q87" s="60" t="str">
        <x:v>已收款</x:v>
      </x:c>
      <x:c r="R87" s="62" t="n">
        <x:v>46193</x:v>
      </x:c>
      <x:c r="S87" s="62" t="n">
        <x:v>46193</x:v>
      </x:c>
      <x:c r="T87" s="62" t="n">
        <x:v>46197</x:v>
      </x:c>
      <x:c r="U87" s="62" t="n">
        <x:v>46197</x:v>
      </x:c>
      <x:c r="V87" s="62" t="n">
        <x:v>46198</x:v>
      </x:c>
      <x:c r="W87" s="62" t="n">
        <x:v>46203</x:v>
      </x:c>
      <x:c r="X87" s="62"/>
      <x:c r="Y87" s="60" t="str">
        <x:v>国际运输</x:v>
      </x:c>
      <x:c r="Z87" s="60" t="str">
        <x:v>运输中</x:v>
      </x:c>
      <x:c r="AA87" s="60" t="str">
        <x:v>已完成</x:v>
      </x:c>
      <x:c r="AB87" s="60" t="str">
        <x:v>已完成</x:v>
      </x:c>
      <x:c r="AC87" s="60" t="str">
        <x:v>已完成</x:v>
      </x:c>
      <x:c r="AD87" s="60" t="str">
        <x:v>已完成</x:v>
      </x:c>
      <x:c r="AE87" s="60" t="str">
        <x:v>已完成</x:v>
      </x:c>
      <x:c r="AF87" s="81" t="n">
        <x:f>COUNTIF(AA87:AE87,"已完成")/5</x:f>
        <x:v>1</x:v>
      </x:c>
      <x:c r="AG87" s="75" t="str">
        <x:f>IF(U87&lt;&gt;"","",T87-'基础参数'!$O$2)</x:f>
      </x:c>
      <x:c r="AH87" s="75" t="str">
        <x:f>IF(X87&lt;&gt;"","已完成",IF(U87&lt;&gt;"",IF(U87&gt;T87,"延迟出库","运输中"),IF(T87&lt;'基础参数'!$O$2,"已逾期",IF(T87-'基础参数'!$O$2&lt;=2,"红色预警",IF(T87-'基础参数'!$O$2&lt;=7,"黄色预警","正常")))))</x:f>
        <x:v>运输中</x:v>
      </x:c>
      <x:c r="AI87" s="27" t="str">
        <x:v>无异常</x:v>
      </x:c>
      <x:c r="AJ87" s="27" t="str">
        <x:v>-</x:v>
      </x:c>
      <x:c r="AK87" s="75" t="str">
        <x:f>IFERROR(VLOOKUP(AI87,'基础参数'!$N$5:$S$19,4,FALSE),"-")</x:f>
        <x:v>-</x:v>
      </x:c>
      <x:c r="AL87" s="33"/>
      <x:c r="AM87" s="27" t="str">
        <x:v>不适用</x:v>
      </x:c>
      <x:c r="AN87" s="27" t="str">
        <x:v>无异常</x:v>
      </x:c>
      <x:c r="AO87" s="69" t="str"/>
      <x:c r="AP87" s="69" t="str"/>
      <x:c r="AQ87" s="75" t="str">
        <x:f>IF(X87="","",IF(X87&lt;=W87,"是","否"))</x:f>
      </x:c>
      <x:c r="AR87" s="75" t="str">
        <x:f>IFERROR(VLOOKUP(AI87,'基础参数'!$N$5:$S$19,2,FALSE),"无异常")</x:f>
        <x:v>无异常</x:v>
      </x:c>
    </x:row>
    <x:row r="88" ht="34" customHeight="1">
      <x:c r="A88" s="49" t="str">
        <x:v>PO-26-083</x:v>
      </x:c>
      <x:c r="B88" s="50" t="n">
        <x:v>46168</x:v>
      </x:c>
      <x:c r="C88" s="72" t="str">
        <x:v>C016</x:v>
      </x:c>
      <x:c r="D88" s="75" t="str">
        <x:f>IFERROR(VLOOKUP(C88,'基础参数'!$A$5:$E$22,2,FALSE),"")</x:f>
        <x:v>Sakura Field Co.</x:v>
      </x:c>
      <x:c r="E88" s="75" t="str">
        <x:f>IFERROR(VLOOKUP(C88,'基础参数'!$A$5:$E$22,3,FALSE),"")</x:f>
        <x:v>日本</x:v>
      </x:c>
      <x:c r="F88" s="75" t="str">
        <x:f>IFERROR(VLOOKUP(C88,'基础参数'!$A$5:$E$22,4,FALSE),"")</x:f>
        <x:v>亚洲</x:v>
      </x:c>
      <x:c r="G88" s="72" t="str">
        <x:v>TEN-410</x:v>
      </x:c>
      <x:c r="H88" s="75" t="str">
        <x:f>IFERROR(VLOOKUP(G88,'基础参数'!$G$5:$L$16,2,FALSE),"")</x:f>
        <x:v>四人家庭帐篷</x:v>
      </x:c>
      <x:c r="I88" s="75" t="str">
        <x:f>IFERROR(VLOOKUP(G88,'基础参数'!$G$5:$L$16,3,FALSE),"")</x:f>
        <x:v>帐篷</x:v>
      </x:c>
      <x:c r="J88" s="58" t="n">
        <x:v>650</x:v>
      </x:c>
      <x:c r="K88" s="59" t="n">
        <x:v>99.03</x:v>
      </x:c>
      <x:c r="L88" s="60" t="str">
        <x:v>USD</x:v>
      </x:c>
      <x:c r="M88" s="78" t="n">
        <x:f>J88*K88</x:f>
        <x:v>64369.5</x:v>
      </x:c>
      <x:c r="N88" s="60" t="str">
        <x:v>DDP</x:v>
      </x:c>
      <x:c r="O88" s="60" t="str">
        <x:v>国际快递</x:v>
      </x:c>
      <x:c r="P88" s="60" t="str">
        <x:v>DHL Express</x:v>
      </x:c>
      <x:c r="Q88" s="60" t="str">
        <x:v>已收款</x:v>
      </x:c>
      <x:c r="R88" s="62" t="n">
        <x:v>46206</x:v>
      </x:c>
      <x:c r="S88" s="62" t="n">
        <x:v>46205</x:v>
      </x:c>
      <x:c r="T88" s="62" t="n">
        <x:v>46210</x:v>
      </x:c>
      <x:c r="U88" s="62" t="n">
        <x:v>46210</x:v>
      </x:c>
      <x:c r="V88" s="62" t="n">
        <x:v>46211</x:v>
      </x:c>
      <x:c r="W88" s="62" t="n">
        <x:v>46216</x:v>
      </x:c>
      <x:c r="X88" s="62"/>
      <x:c r="Y88" s="60" t="str">
        <x:v>国际运输</x:v>
      </x:c>
      <x:c r="Z88" s="60" t="str">
        <x:v>运输中</x:v>
      </x:c>
      <x:c r="AA88" s="60" t="str">
        <x:v>已完成</x:v>
      </x:c>
      <x:c r="AB88" s="60" t="str">
        <x:v>已完成</x:v>
      </x:c>
      <x:c r="AC88" s="60" t="str">
        <x:v>已完成</x:v>
      </x:c>
      <x:c r="AD88" s="60" t="str">
        <x:v>已完成</x:v>
      </x:c>
      <x:c r="AE88" s="60" t="str">
        <x:v>已完成</x:v>
      </x:c>
      <x:c r="AF88" s="81" t="n">
        <x:f>COUNTIF(AA88:AE88,"已完成")/5</x:f>
        <x:v>1</x:v>
      </x:c>
      <x:c r="AG88" s="75" t="str">
        <x:f>IF(U88&lt;&gt;"","",T88-'基础参数'!$O$2)</x:f>
      </x:c>
      <x:c r="AH88" s="75" t="str">
        <x:f>IF(X88&lt;&gt;"","已完成",IF(U88&lt;&gt;"",IF(U88&gt;T88,"延迟出库","运输中"),IF(T88&lt;'基础参数'!$O$2,"已逾期",IF(T88-'基础参数'!$O$2&lt;=2,"红色预警",IF(T88-'基础参数'!$O$2&lt;=7,"黄色预警","正常")))))</x:f>
        <x:v>运输中</x:v>
      </x:c>
      <x:c r="AI88" s="27" t="str">
        <x:v>无异常</x:v>
      </x:c>
      <x:c r="AJ88" s="27" t="str">
        <x:v>-</x:v>
      </x:c>
      <x:c r="AK88" s="75" t="str">
        <x:f>IFERROR(VLOOKUP(AI88,'基础参数'!$N$5:$S$19,4,FALSE),"-")</x:f>
        <x:v>-</x:v>
      </x:c>
      <x:c r="AL88" s="33"/>
      <x:c r="AM88" s="27" t="str">
        <x:v>不适用</x:v>
      </x:c>
      <x:c r="AN88" s="27" t="str">
        <x:v>无异常</x:v>
      </x:c>
      <x:c r="AO88" s="69" t="str"/>
      <x:c r="AP88" s="69" t="str"/>
      <x:c r="AQ88" s="75" t="str">
        <x:f>IF(X88="","",IF(X88&lt;=W88,"是","否"))</x:f>
      </x:c>
      <x:c r="AR88" s="75" t="str">
        <x:f>IFERROR(VLOOKUP(AI88,'基础参数'!$N$5:$S$19,2,FALSE),"无异常")</x:f>
        <x:v>无异常</x:v>
      </x:c>
    </x:row>
    <x:row r="89" ht="34" customHeight="1">
      <x:c r="A89" s="49" t="str">
        <x:v>PO-26-084</x:v>
      </x:c>
      <x:c r="B89" s="50" t="n">
        <x:v>46170</x:v>
      </x:c>
      <x:c r="C89" s="72" t="str">
        <x:v>C003</x:v>
      </x:c>
      <x:c r="D89" s="75" t="str">
        <x:f>IFERROR(VLOOKUP(C89,'基础参数'!$A$5:$E$22,2,FALSE),"")</x:f>
        <x:v>CampVista BV</x:v>
      </x:c>
      <x:c r="E89" s="75" t="str">
        <x:f>IFERROR(VLOOKUP(C89,'基础参数'!$A$5:$E$22,3,FALSE),"")</x:f>
        <x:v>荷兰</x:v>
      </x:c>
      <x:c r="F89" s="75" t="str">
        <x:f>IFERROR(VLOOKUP(C89,'基础参数'!$A$5:$E$22,4,FALSE),"")</x:f>
        <x:v>欧洲</x:v>
      </x:c>
      <x:c r="G89" s="72" t="str">
        <x:v>MAT-160</x:v>
      </x:c>
      <x:c r="H89" s="75" t="str">
        <x:f>IFERROR(VLOOKUP(G89,'基础参数'!$G$5:$L$16,2,FALSE),"")</x:f>
        <x:v>防水野餐垫</x:v>
      </x:c>
      <x:c r="I89" s="75" t="str">
        <x:f>IFERROR(VLOOKUP(G89,'基础参数'!$G$5:$L$16,3,FALSE),"")</x:f>
        <x:v>野餐垫</x:v>
      </x:c>
      <x:c r="J89" s="58" t="n">
        <x:v>1850</x:v>
      </x:c>
      <x:c r="K89" s="59" t="n">
        <x:v>13.84</x:v>
      </x:c>
      <x:c r="L89" s="60" t="str">
        <x:v>EUR</x:v>
      </x:c>
      <x:c r="M89" s="78" t="n">
        <x:f>J89*K89</x:f>
        <x:v>25604</x:v>
      </x:c>
      <x:c r="N89" s="60" t="str">
        <x:v>FOB</x:v>
      </x:c>
      <x:c r="O89" s="60" t="str">
        <x:v>海运</x:v>
      </x:c>
      <x:c r="P89" s="60" t="str">
        <x:v>CMA CGM</x:v>
      </x:c>
      <x:c r="Q89" s="60" t="str">
        <x:v>已收款</x:v>
      </x:c>
      <x:c r="R89" s="62" t="n">
        <x:v>46188</x:v>
      </x:c>
      <x:c r="S89" s="62" t="n">
        <x:v>46187</x:v>
      </x:c>
      <x:c r="T89" s="62" t="n">
        <x:v>46192</x:v>
      </x:c>
      <x:c r="U89" s="62" t="n">
        <x:v>46193</x:v>
      </x:c>
      <x:c r="V89" s="62" t="n">
        <x:v>46194</x:v>
      </x:c>
      <x:c r="W89" s="62" t="n">
        <x:v>46226</x:v>
      </x:c>
      <x:c r="X89" s="62"/>
      <x:c r="Y89" s="60" t="str">
        <x:v>国际运输</x:v>
      </x:c>
      <x:c r="Z89" s="60" t="str">
        <x:v>运输中</x:v>
      </x:c>
      <x:c r="AA89" s="60" t="str">
        <x:v>已完成</x:v>
      </x:c>
      <x:c r="AB89" s="60" t="str">
        <x:v>已完成</x:v>
      </x:c>
      <x:c r="AC89" s="60" t="str">
        <x:v>已完成</x:v>
      </x:c>
      <x:c r="AD89" s="60" t="str">
        <x:v>已完成</x:v>
      </x:c>
      <x:c r="AE89" s="60" t="str">
        <x:v>已完成</x:v>
      </x:c>
      <x:c r="AF89" s="81" t="n">
        <x:f>COUNTIF(AA89:AE89,"已完成")/5</x:f>
        <x:v>1</x:v>
      </x:c>
      <x:c r="AG89" s="75" t="str">
        <x:f>IF(U89&lt;&gt;"","",T89-'基础参数'!$O$2)</x:f>
      </x:c>
      <x:c r="AH89" s="75" t="str">
        <x:f>IF(X89&lt;&gt;"","已完成",IF(U89&lt;&gt;"",IF(U89&gt;T89,"延迟出库","运输中"),IF(T89&lt;'基础参数'!$O$2,"已逾期",IF(T89-'基础参数'!$O$2&lt;=2,"红色预警",IF(T89-'基础参数'!$O$2&lt;=7,"黄色预警","正常")))))</x:f>
        <x:v>延迟出库</x:v>
      </x:c>
      <x:c r="AI89" s="27" t="str">
        <x:v>无异常</x:v>
      </x:c>
      <x:c r="AJ89" s="27" t="str">
        <x:v>-</x:v>
      </x:c>
      <x:c r="AK89" s="75" t="str">
        <x:f>IFERROR(VLOOKUP(AI89,'基础参数'!$N$5:$S$19,4,FALSE),"-")</x:f>
        <x:v>-</x:v>
      </x:c>
      <x:c r="AL89" s="33"/>
      <x:c r="AM89" s="27" t="str">
        <x:v>不适用</x:v>
      </x:c>
      <x:c r="AN89" s="27" t="str">
        <x:v>无异常</x:v>
      </x:c>
      <x:c r="AO89" s="69" t="str"/>
      <x:c r="AP89" s="69" t="str"/>
      <x:c r="AQ89" s="75" t="str">
        <x:f>IF(X89="","",IF(X89&lt;=W89,"是","否"))</x:f>
      </x:c>
      <x:c r="AR89" s="75" t="str">
        <x:f>IFERROR(VLOOKUP(AI89,'基础参数'!$N$5:$S$19,2,FALSE),"无异常")</x:f>
        <x:v>无异常</x:v>
      </x:c>
    </x:row>
    <x:row r="90" ht="34" customHeight="1">
      <x:c r="A90" s="49" t="str">
        <x:v>PO-26-085</x:v>
      </x:c>
      <x:c r="B90" s="50" t="n">
        <x:v>46172</x:v>
      </x:c>
      <x:c r="C90" s="72" t="str">
        <x:v>C009</x:v>
      </x:c>
      <x:c r="D90" s="75" t="str">
        <x:f>IFERROR(VLOOKUP(C90,'基础参数'!$A$5:$E$22,2,FALSE),"")</x:f>
        <x:v>NorthWood Retail</x:v>
      </x:c>
      <x:c r="E90" s="75" t="str">
        <x:f>IFERROR(VLOOKUP(C90,'基础参数'!$A$5:$E$22,3,FALSE),"")</x:f>
        <x:v>加拿大</x:v>
      </x:c>
      <x:c r="F90" s="75" t="str">
        <x:f>IFERROR(VLOOKUP(C90,'基础参数'!$A$5:$E$22,4,FALSE),"")</x:f>
        <x:v>北美</x:v>
      </x:c>
      <x:c r="G90" s="72" t="str">
        <x:v>TBL-220</x:v>
      </x:c>
      <x:c r="H90" s="75" t="str">
        <x:f>IFERROR(VLOOKUP(G90,'基础参数'!$G$5:$L$16,2,FALSE),"")</x:f>
        <x:v>便携折叠桌</x:v>
      </x:c>
      <x:c r="I90" s="75" t="str">
        <x:f>IFERROR(VLOOKUP(G90,'基础参数'!$G$5:$L$16,3,FALSE),"")</x:f>
        <x:v>折叠家具</x:v>
      </x:c>
      <x:c r="J90" s="58" t="n">
        <x:v>1250</x:v>
      </x:c>
      <x:c r="K90" s="59" t="n">
        <x:v>42.05</x:v>
      </x:c>
      <x:c r="L90" s="60" t="str">
        <x:v>USD</x:v>
      </x:c>
      <x:c r="M90" s="78" t="n">
        <x:f>J90*K90</x:f>
        <x:v>52562.5</x:v>
      </x:c>
      <x:c r="N90" s="60" t="str">
        <x:v>FOB</x:v>
      </x:c>
      <x:c r="O90" s="60" t="str">
        <x:v>海运</x:v>
      </x:c>
      <x:c r="P90" s="60" t="str">
        <x:v>Maersk</x:v>
      </x:c>
      <x:c r="Q90" s="60" t="str">
        <x:v>待收尾款</x:v>
      </x:c>
      <x:c r="R90" s="62" t="n">
        <x:v>46199</x:v>
      </x:c>
      <x:c r="S90" s="62" t="n">
        <x:v>46198</x:v>
      </x:c>
      <x:c r="T90" s="62" t="n">
        <x:v>46203</x:v>
      </x:c>
      <x:c r="U90" s="62"/>
      <x:c r="V90" s="62" t="n">
        <x:v>46204</x:v>
      </x:c>
      <x:c r="W90" s="62" t="n">
        <x:v>46236</x:v>
      </x:c>
      <x:c r="X90" s="62"/>
      <x:c r="Y90" s="60" t="str">
        <x:v>待出库</x:v>
      </x:c>
      <x:c r="Z90" s="60" t="str">
        <x:v>待出运</x:v>
      </x:c>
      <x:c r="AA90" s="60" t="str">
        <x:v>已完成</x:v>
      </x:c>
      <x:c r="AB90" s="60" t="str">
        <x:v>已完成</x:v>
      </x:c>
      <x:c r="AC90" s="60" t="str">
        <x:v>待补充</x:v>
      </x:c>
      <x:c r="AD90" s="60" t="str">
        <x:v>待补充</x:v>
      </x:c>
      <x:c r="AE90" s="60" t="str">
        <x:v>待补充</x:v>
      </x:c>
      <x:c r="AF90" s="81" t="n">
        <x:f>COUNTIF(AA90:AE90,"已完成")/5</x:f>
        <x:v>0.4</x:v>
      </x:c>
      <x:c r="AG90" s="75" t="n">
        <x:f>IF(U90&lt;&gt;"","",T90-'基础参数'!$O$2)</x:f>
        <x:v>7</x:v>
      </x:c>
      <x:c r="AH90" s="75" t="str">
        <x:f>IF(X90&lt;&gt;"","已完成",IF(U90&lt;&gt;"",IF(U90&gt;T90,"延迟出库","运输中"),IF(T90&lt;'基础参数'!$O$2,"已逾期",IF(T90-'基础参数'!$O$2&lt;=2,"红色预警",IF(T90-'基础参数'!$O$2&lt;=7,"黄色预警","正常")))))</x:f>
        <x:v>黄色预警</x:v>
      </x:c>
      <x:c r="AI90" s="27" t="str">
        <x:v>单证缺失</x:v>
      </x:c>
      <x:c r="AJ90" s="27" t="str">
        <x:v>A级</x:v>
      </x:c>
      <x:c r="AK90" s="75" t="str">
        <x:f>IFERROR(VLOOKUP(AI90,'基础参数'!$N$5:$S$19,4,FALSE),"-")</x:f>
        <x:v>单证专员</x:v>
      </x:c>
      <x:c r="AL90" s="33" t="n">
        <x:v>46205</x:v>
      </x:c>
      <x:c r="AM90" s="27" t="str">
        <x:v>待通知</x:v>
      </x:c>
      <x:c r="AN90" s="27" t="str">
        <x:v>待处理</x:v>
      </x:c>
      <x:c r="AO90" s="69" t="str">
        <x:v>单证缺失导致计划节点存在重大偏差</x:v>
      </x:c>
      <x:c r="AP90" s="69" t="str">
        <x:v>正在协调恢复方案</x:v>
      </x:c>
      <x:c r="AQ90" s="75" t="str">
        <x:f>IF(X90="","",IF(X90&lt;=W90,"是","否"))</x:f>
      </x:c>
      <x:c r="AR90" s="75" t="str">
        <x:f>IFERROR(VLOOKUP(AI90,'基础参数'!$N$5:$S$19,2,FALSE),"无异常")</x:f>
        <x:v>单证</x:v>
      </x:c>
    </x:row>
    <x:row r="91" ht="34" customHeight="1">
      <x:c r="A91" s="49" t="str">
        <x:v>PO-26-086</x:v>
      </x:c>
      <x:c r="B91" s="50" t="n">
        <x:v>46173</x:v>
      </x:c>
      <x:c r="C91" s="72" t="str">
        <x:v>C014</x:v>
      </x:c>
      <x:c r="D91" s="75" t="str">
        <x:f>IFERROR(VLOOKUP(C91,'基础参数'!$A$5:$E$22,2,FALSE),"")</x:f>
        <x:v>Kiwi Trek Ltd.</x:v>
      </x:c>
      <x:c r="E91" s="75" t="str">
        <x:f>IFERROR(VLOOKUP(C91,'基础参数'!$A$5:$E$22,3,FALSE),"")</x:f>
        <x:v>新西兰</x:v>
      </x:c>
      <x:c r="F91" s="75" t="str">
        <x:f>IFERROR(VLOOKUP(C91,'基础参数'!$A$5:$E$22,4,FALSE),"")</x:f>
        <x:v>澳洲</x:v>
      </x:c>
      <x:c r="G91" s="72" t="str">
        <x:v>LGT-240</x:v>
      </x:c>
      <x:c r="H91" s="75" t="str">
        <x:f>IFERROR(VLOOKUP(G91,'基础参数'!$G$5:$L$16,2,FALSE),"")</x:f>
        <x:v>太阳能营地灯串</x:v>
      </x:c>
      <x:c r="I91" s="75" t="str">
        <x:f>IFERROR(VLOOKUP(G91,'基础参数'!$G$5:$L$16,3,FALSE),"")</x:f>
        <x:v>露营照明</x:v>
      </x:c>
      <x:c r="J91" s="58" t="n">
        <x:v>900</x:v>
      </x:c>
      <x:c r="K91" s="59" t="n">
        <x:v>25.3</x:v>
      </x:c>
      <x:c r="L91" s="60" t="str">
        <x:v>USD</x:v>
      </x:c>
      <x:c r="M91" s="78" t="n">
        <x:f>J91*K91</x:f>
        <x:v>22770</x:v>
      </x:c>
      <x:c r="N91" s="60" t="str">
        <x:v>FOB</x:v>
      </x:c>
      <x:c r="O91" s="60" t="str">
        <x:v>海运</x:v>
      </x:c>
      <x:c r="P91" s="60" t="str">
        <x:v>Maersk</x:v>
      </x:c>
      <x:c r="Q91" s="60" t="str">
        <x:v>已收款</x:v>
      </x:c>
      <x:c r="R91" s="62" t="n">
        <x:v>46198</x:v>
      </x:c>
      <x:c r="S91" s="62" t="n">
        <x:v>46196</x:v>
      </x:c>
      <x:c r="T91" s="62" t="n">
        <x:v>46202</x:v>
      </x:c>
      <x:c r="U91" s="62" t="n">
        <x:v>46201</x:v>
      </x:c>
      <x:c r="V91" s="62" t="n">
        <x:v>46202</x:v>
      </x:c>
      <x:c r="W91" s="62" t="n">
        <x:v>46234</x:v>
      </x:c>
      <x:c r="X91" s="62"/>
      <x:c r="Y91" s="60" t="str">
        <x:v>国际运输</x:v>
      </x:c>
      <x:c r="Z91" s="60" t="str">
        <x:v>运输中</x:v>
      </x:c>
      <x:c r="AA91" s="60" t="str">
        <x:v>已完成</x:v>
      </x:c>
      <x:c r="AB91" s="60" t="str">
        <x:v>已完成</x:v>
      </x:c>
      <x:c r="AC91" s="60" t="str">
        <x:v>已完成</x:v>
      </x:c>
      <x:c r="AD91" s="60" t="str">
        <x:v>已完成</x:v>
      </x:c>
      <x:c r="AE91" s="60" t="str">
        <x:v>已完成</x:v>
      </x:c>
      <x:c r="AF91" s="81" t="n">
        <x:f>COUNTIF(AA91:AE91,"已完成")/5</x:f>
        <x:v>1</x:v>
      </x:c>
      <x:c r="AG91" s="75" t="str">
        <x:f>IF(U91&lt;&gt;"","",T91-'基础参数'!$O$2)</x:f>
      </x:c>
      <x:c r="AH91" s="75" t="str">
        <x:f>IF(X91&lt;&gt;"","已完成",IF(U91&lt;&gt;"",IF(U91&gt;T91,"延迟出库","运输中"),IF(T91&lt;'基础参数'!$O$2,"已逾期",IF(T91-'基础参数'!$O$2&lt;=2,"红色预警",IF(T91-'基础参数'!$O$2&lt;=7,"黄色预警","正常")))))</x:f>
        <x:v>运输中</x:v>
      </x:c>
      <x:c r="AI91" s="27" t="str">
        <x:v>无异常</x:v>
      </x:c>
      <x:c r="AJ91" s="27" t="str">
        <x:v>-</x:v>
      </x:c>
      <x:c r="AK91" s="75" t="str">
        <x:f>IFERROR(VLOOKUP(AI91,'基础参数'!$N$5:$S$19,4,FALSE),"-")</x:f>
        <x:v>-</x:v>
      </x:c>
      <x:c r="AL91" s="33"/>
      <x:c r="AM91" s="27" t="str">
        <x:v>不适用</x:v>
      </x:c>
      <x:c r="AN91" s="27" t="str">
        <x:v>无异常</x:v>
      </x:c>
      <x:c r="AO91" s="69" t="str"/>
      <x:c r="AP91" s="69" t="str"/>
      <x:c r="AQ91" s="75" t="str">
        <x:f>IF(X91="","",IF(X91&lt;=W91,"是","否"))</x:f>
      </x:c>
      <x:c r="AR91" s="75" t="str">
        <x:f>IFERROR(VLOOKUP(AI91,'基础参数'!$N$5:$S$19,2,FALSE),"无异常")</x:f>
        <x:v>无异常</x:v>
      </x:c>
    </x:row>
    <x:row r="92" ht="34" customHeight="1">
      <x:c r="A92" s="49" t="str">
        <x:v>PO-26-087</x:v>
      </x:c>
      <x:c r="B92" s="50" t="n">
        <x:v>46175</x:v>
      </x:c>
      <x:c r="C92" s="72" t="str">
        <x:v>C002</x:v>
      </x:c>
      <x:c r="D92" s="75" t="str">
        <x:f>IFERROR(VLOOKUP(C92,'基础参数'!$A$5:$E$22,2,FALSE),"")</x:f>
        <x:v>Alpine Base SAS</x:v>
      </x:c>
      <x:c r="E92" s="75" t="str">
        <x:f>IFERROR(VLOOKUP(C92,'基础参数'!$A$5:$E$22,3,FALSE),"")</x:f>
        <x:v>法国</x:v>
      </x:c>
      <x:c r="F92" s="75" t="str">
        <x:f>IFERROR(VLOOKUP(C92,'基础参数'!$A$5:$E$22,4,FALSE),"")</x:f>
        <x:v>欧洲</x:v>
      </x:c>
      <x:c r="G92" s="72" t="str">
        <x:v>SLP-120</x:v>
      </x:c>
      <x:c r="H92" s="75" t="str">
        <x:f>IFERROR(VLOOKUP(G92,'基础参数'!$G$5:$L$16,2,FALSE),"")</x:f>
        <x:v>三季木乃伊睡袋</x:v>
      </x:c>
      <x:c r="I92" s="75" t="str">
        <x:f>IFERROR(VLOOKUP(G92,'基础参数'!$G$5:$L$16,3,FALSE),"")</x:f>
        <x:v>睡袋</x:v>
      </x:c>
      <x:c r="J92" s="58" t="n">
        <x:v>2000</x:v>
      </x:c>
      <x:c r="K92" s="59" t="n">
        <x:v>32.01</x:v>
      </x:c>
      <x:c r="L92" s="60" t="str">
        <x:v>EUR</x:v>
      </x:c>
      <x:c r="M92" s="78" t="n">
        <x:f>J92*K92</x:f>
        <x:v>64019.99999999999</x:v>
      </x:c>
      <x:c r="N92" s="60" t="str">
        <x:v>CIF</x:v>
      </x:c>
      <x:c r="O92" s="60" t="str">
        <x:v>空运</x:v>
      </x:c>
      <x:c r="P92" s="60" t="str">
        <x:v>DHL Global Forwarding</x:v>
      </x:c>
      <x:c r="Q92" s="60" t="str">
        <x:v>已收款</x:v>
      </x:c>
      <x:c r="R92" s="62" t="n">
        <x:v>46204</x:v>
      </x:c>
      <x:c r="S92" s="62" t="n">
        <x:v>46202</x:v>
      </x:c>
      <x:c r="T92" s="62" t="n">
        <x:v>46208</x:v>
      </x:c>
      <x:c r="U92" s="62" t="n">
        <x:v>46207</x:v>
      </x:c>
      <x:c r="V92" s="62" t="n">
        <x:v>46208</x:v>
      </x:c>
      <x:c r="W92" s="62" t="n">
        <x:v>46216</x:v>
      </x:c>
      <x:c r="X92" s="62"/>
      <x:c r="Y92" s="60" t="str">
        <x:v>国际运输</x:v>
      </x:c>
      <x:c r="Z92" s="60" t="str">
        <x:v>运输中</x:v>
      </x:c>
      <x:c r="AA92" s="60" t="str">
        <x:v>已完成</x:v>
      </x:c>
      <x:c r="AB92" s="60" t="str">
        <x:v>已完成</x:v>
      </x:c>
      <x:c r="AC92" s="60" t="str">
        <x:v>已完成</x:v>
      </x:c>
      <x:c r="AD92" s="60" t="str">
        <x:v>已完成</x:v>
      </x:c>
      <x:c r="AE92" s="60" t="str">
        <x:v>已完成</x:v>
      </x:c>
      <x:c r="AF92" s="81" t="n">
        <x:f>COUNTIF(AA92:AE92,"已完成")/5</x:f>
        <x:v>1</x:v>
      </x:c>
      <x:c r="AG92" s="75" t="str">
        <x:f>IF(U92&lt;&gt;"","",T92-'基础参数'!$O$2)</x:f>
      </x:c>
      <x:c r="AH92" s="75" t="str">
        <x:f>IF(X92&lt;&gt;"","已完成",IF(U92&lt;&gt;"",IF(U92&gt;T92,"延迟出库","运输中"),IF(T92&lt;'基础参数'!$O$2,"已逾期",IF(T92-'基础参数'!$O$2&lt;=2,"红色预警",IF(T92-'基础参数'!$O$2&lt;=7,"黄色预警","正常")))))</x:f>
        <x:v>运输中</x:v>
      </x:c>
      <x:c r="AI92" s="27" t="str">
        <x:v>无异常</x:v>
      </x:c>
      <x:c r="AJ92" s="27" t="str">
        <x:v>-</x:v>
      </x:c>
      <x:c r="AK92" s="75" t="str">
        <x:f>IFERROR(VLOOKUP(AI92,'基础参数'!$N$5:$S$19,4,FALSE),"-")</x:f>
        <x:v>-</x:v>
      </x:c>
      <x:c r="AL92" s="33"/>
      <x:c r="AM92" s="27" t="str">
        <x:v>不适用</x:v>
      </x:c>
      <x:c r="AN92" s="27" t="str">
        <x:v>无异常</x:v>
      </x:c>
      <x:c r="AO92" s="69" t="str"/>
      <x:c r="AP92" s="69" t="str"/>
      <x:c r="AQ92" s="75" t="str">
        <x:f>IF(X92="","",IF(X92&lt;=W92,"是","否"))</x:f>
      </x:c>
      <x:c r="AR92" s="75" t="str">
        <x:f>IFERROR(VLOOKUP(AI92,'基础参数'!$N$5:$S$19,2,FALSE),"无异常")</x:f>
        <x:v>无异常</x:v>
      </x:c>
    </x:row>
    <x:row r="93" ht="34" customHeight="1">
      <x:c r="A93" s="49" t="str">
        <x:v>PO-26-088</x:v>
      </x:c>
      <x:c r="B93" s="50" t="n">
        <x:v>46177</x:v>
      </x:c>
      <x:c r="C93" s="72" t="str">
        <x:v>C007</x:v>
      </x:c>
      <x:c r="D93" s="75" t="str">
        <x:f>IFERROR(VLOOKUP(C93,'基础参数'!$A$5:$E$22,2,FALSE),"")</x:f>
        <x:v>Summit Supply Inc.</x:v>
      </x:c>
      <x:c r="E93" s="75" t="str">
        <x:f>IFERROR(VLOOKUP(C93,'基础参数'!$A$5:$E$22,3,FALSE),"")</x:f>
        <x:v>美国</x:v>
      </x:c>
      <x:c r="F93" s="75" t="str">
        <x:f>IFERROR(VLOOKUP(C93,'基础参数'!$A$5:$E$22,4,FALSE),"")</x:f>
        <x:v>北美</x:v>
      </x:c>
      <x:c r="G93" s="72" t="str">
        <x:v>CKT-150</x:v>
      </x:c>
      <x:c r="H93" s="75" t="str">
        <x:f>IFERROR(VLOOKUP(G93,'基础参数'!$G$5:$L$16,2,FALSE),"")</x:f>
        <x:v>不锈钢炊具套装</x:v>
      </x:c>
      <x:c r="I93" s="75" t="str">
        <x:f>IFERROR(VLOOKUP(G93,'基础参数'!$G$5:$L$16,3,FALSE),"")</x:f>
        <x:v>户外炊具</x:v>
      </x:c>
      <x:c r="J93" s="58" t="n">
        <x:v>1550</x:v>
      </x:c>
      <x:c r="K93" s="59" t="n">
        <x:v>28.12</x:v>
      </x:c>
      <x:c r="L93" s="60" t="str">
        <x:v>USD</x:v>
      </x:c>
      <x:c r="M93" s="78" t="n">
        <x:f>J93*K93</x:f>
        <x:v>43586</x:v>
      </x:c>
      <x:c r="N93" s="60" t="str">
        <x:v>DDP</x:v>
      </x:c>
      <x:c r="O93" s="60" t="str">
        <x:v>空运</x:v>
      </x:c>
      <x:c r="P93" s="60" t="str">
        <x:v>Kuehne+Nagel</x:v>
      </x:c>
      <x:c r="Q93" s="60" t="str">
        <x:v>已收款</x:v>
      </x:c>
      <x:c r="R93" s="62" t="n">
        <x:v>46203</x:v>
      </x:c>
      <x:c r="S93" s="62" t="n">
        <x:v>46202</x:v>
      </x:c>
      <x:c r="T93" s="62" t="n">
        <x:v>46207</x:v>
      </x:c>
      <x:c r="U93" s="62" t="n">
        <x:v>46207</x:v>
      </x:c>
      <x:c r="V93" s="62" t="n">
        <x:v>46208</x:v>
      </x:c>
      <x:c r="W93" s="62" t="n">
        <x:v>46216</x:v>
      </x:c>
      <x:c r="X93" s="62"/>
      <x:c r="Y93" s="60" t="str">
        <x:v>国际运输</x:v>
      </x:c>
      <x:c r="Z93" s="60" t="str">
        <x:v>运输中</x:v>
      </x:c>
      <x:c r="AA93" s="60" t="str">
        <x:v>已完成</x:v>
      </x:c>
      <x:c r="AB93" s="60" t="str">
        <x:v>已完成</x:v>
      </x:c>
      <x:c r="AC93" s="60" t="str">
        <x:v>已完成</x:v>
      </x:c>
      <x:c r="AD93" s="60" t="str">
        <x:v>已完成</x:v>
      </x:c>
      <x:c r="AE93" s="60" t="str">
        <x:v>已完成</x:v>
      </x:c>
      <x:c r="AF93" s="81" t="n">
        <x:f>COUNTIF(AA93:AE93,"已完成")/5</x:f>
        <x:v>1</x:v>
      </x:c>
      <x:c r="AG93" s="75" t="str">
        <x:f>IF(U93&lt;&gt;"","",T93-'基础参数'!$O$2)</x:f>
      </x:c>
      <x:c r="AH93" s="75" t="str">
        <x:f>IF(X93&lt;&gt;"","已完成",IF(U93&lt;&gt;"",IF(U93&gt;T93,"延迟出库","运输中"),IF(T93&lt;'基础参数'!$O$2,"已逾期",IF(T93-'基础参数'!$O$2&lt;=2,"红色预警",IF(T93-'基础参数'!$O$2&lt;=7,"黄色预警","正常")))))</x:f>
        <x:v>运输中</x:v>
      </x:c>
      <x:c r="AI93" s="27" t="str">
        <x:v>无异常</x:v>
      </x:c>
      <x:c r="AJ93" s="27" t="str">
        <x:v>-</x:v>
      </x:c>
      <x:c r="AK93" s="75" t="str">
        <x:f>IFERROR(VLOOKUP(AI93,'基础参数'!$N$5:$S$19,4,FALSE),"-")</x:f>
        <x:v>-</x:v>
      </x:c>
      <x:c r="AL93" s="33"/>
      <x:c r="AM93" s="27" t="str">
        <x:v>不适用</x:v>
      </x:c>
      <x:c r="AN93" s="27" t="str">
        <x:v>无异常</x:v>
      </x:c>
      <x:c r="AO93" s="69" t="str"/>
      <x:c r="AP93" s="69" t="str"/>
      <x:c r="AQ93" s="75" t="str">
        <x:f>IF(X93="","",IF(X93&lt;=W93,"是","否"))</x:f>
      </x:c>
      <x:c r="AR93" s="75" t="str">
        <x:f>IFERROR(VLOOKUP(AI93,'基础参数'!$N$5:$S$19,2,FALSE),"无异常")</x:f>
        <x:v>无异常</x:v>
      </x:c>
    </x:row>
    <x:row r="94" ht="34" customHeight="1">
      <x:c r="A94" s="49" t="str">
        <x:v>PO-26-089</x:v>
      </x:c>
      <x:c r="B94" s="50" t="n">
        <x:v>46179</x:v>
      </x:c>
      <x:c r="C94" s="72" t="str">
        <x:v>C009</x:v>
      </x:c>
      <x:c r="D94" s="75" t="str">
        <x:f>IFERROR(VLOOKUP(C94,'基础参数'!$A$5:$E$22,2,FALSE),"")</x:f>
        <x:v>NorthWood Retail</x:v>
      </x:c>
      <x:c r="E94" s="75" t="str">
        <x:f>IFERROR(VLOOKUP(C94,'基础参数'!$A$5:$E$22,3,FALSE),"")</x:f>
        <x:v>加拿大</x:v>
      </x:c>
      <x:c r="F94" s="75" t="str">
        <x:f>IFERROR(VLOOKUP(C94,'基础参数'!$A$5:$E$22,4,FALSE),"")</x:f>
        <x:v>北美</x:v>
      </x:c>
      <x:c r="G94" s="72" t="str">
        <x:v>MAT-160</x:v>
      </x:c>
      <x:c r="H94" s="75" t="str">
        <x:f>IFERROR(VLOOKUP(G94,'基础参数'!$G$5:$L$16,2,FALSE),"")</x:f>
        <x:v>防水野餐垫</x:v>
      </x:c>
      <x:c r="I94" s="75" t="str">
        <x:f>IFERROR(VLOOKUP(G94,'基础参数'!$G$5:$L$16,3,FALSE),"")</x:f>
        <x:v>野餐垫</x:v>
      </x:c>
      <x:c r="J94" s="58" t="n">
        <x:v>1050</x:v>
      </x:c>
      <x:c r="K94" s="59" t="n">
        <x:v>14.53</x:v>
      </x:c>
      <x:c r="L94" s="60" t="str">
        <x:v>USD</x:v>
      </x:c>
      <x:c r="M94" s="78" t="n">
        <x:f>J94*K94</x:f>
        <x:v>15256.5</x:v>
      </x:c>
      <x:c r="N94" s="60" t="str">
        <x:v>CIF</x:v>
      </x:c>
      <x:c r="O94" s="60" t="str">
        <x:v>海运</x:v>
      </x:c>
      <x:c r="P94" s="60" t="str">
        <x:v>CMA CGM</x:v>
      </x:c>
      <x:c r="Q94" s="60" t="str">
        <x:v>已收款</x:v>
      </x:c>
      <x:c r="R94" s="62" t="n">
        <x:v>46197</x:v>
      </x:c>
      <x:c r="S94" s="62" t="n">
        <x:v>46197</x:v>
      </x:c>
      <x:c r="T94" s="62" t="n">
        <x:v>46201</x:v>
      </x:c>
      <x:c r="U94" s="62" t="n">
        <x:v>46200</x:v>
      </x:c>
      <x:c r="V94" s="62" t="n">
        <x:v>46201</x:v>
      </x:c>
      <x:c r="W94" s="62" t="n">
        <x:v>46233</x:v>
      </x:c>
      <x:c r="X94" s="62"/>
      <x:c r="Y94" s="60" t="str">
        <x:v>国际运输</x:v>
      </x:c>
      <x:c r="Z94" s="60" t="str">
        <x:v>运输中</x:v>
      </x:c>
      <x:c r="AA94" s="60" t="str">
        <x:v>已完成</x:v>
      </x:c>
      <x:c r="AB94" s="60" t="str">
        <x:v>已完成</x:v>
      </x:c>
      <x:c r="AC94" s="60" t="str">
        <x:v>已完成</x:v>
      </x:c>
      <x:c r="AD94" s="60" t="str">
        <x:v>已完成</x:v>
      </x:c>
      <x:c r="AE94" s="60" t="str">
        <x:v>已完成</x:v>
      </x:c>
      <x:c r="AF94" s="81" t="n">
        <x:f>COUNTIF(AA94:AE94,"已完成")/5</x:f>
        <x:v>1</x:v>
      </x:c>
      <x:c r="AG94" s="75" t="str">
        <x:f>IF(U94&lt;&gt;"","",T94-'基础参数'!$O$2)</x:f>
      </x:c>
      <x:c r="AH94" s="75" t="str">
        <x:f>IF(X94&lt;&gt;"","已完成",IF(U94&lt;&gt;"",IF(U94&gt;T94,"延迟出库","运输中"),IF(T94&lt;'基础参数'!$O$2,"已逾期",IF(T94-'基础参数'!$O$2&lt;=2,"红色预警",IF(T94-'基础参数'!$O$2&lt;=7,"黄色预警","正常")))))</x:f>
        <x:v>运输中</x:v>
      </x:c>
      <x:c r="AI94" s="27" t="str">
        <x:v>无异常</x:v>
      </x:c>
      <x:c r="AJ94" s="27" t="str">
        <x:v>-</x:v>
      </x:c>
      <x:c r="AK94" s="75" t="str">
        <x:f>IFERROR(VLOOKUP(AI94,'基础参数'!$N$5:$S$19,4,FALSE),"-")</x:f>
        <x:v>-</x:v>
      </x:c>
      <x:c r="AL94" s="33"/>
      <x:c r="AM94" s="27" t="str">
        <x:v>不适用</x:v>
      </x:c>
      <x:c r="AN94" s="27" t="str">
        <x:v>无异常</x:v>
      </x:c>
      <x:c r="AO94" s="69" t="str"/>
      <x:c r="AP94" s="69" t="str"/>
      <x:c r="AQ94" s="75" t="str">
        <x:f>IF(X94="","",IF(X94&lt;=W94,"是","否"))</x:f>
      </x:c>
      <x:c r="AR94" s="75" t="str">
        <x:f>IFERROR(VLOOKUP(AI94,'基础参数'!$N$5:$S$19,2,FALSE),"无异常")</x:f>
        <x:v>无异常</x:v>
      </x:c>
    </x:row>
    <x:row r="95" ht="34" customHeight="1">
      <x:c r="A95" s="49" t="str">
        <x:v>PO-26-090</x:v>
      </x:c>
      <x:c r="B95" s="50" t="n">
        <x:v>46180</x:v>
      </x:c>
      <x:c r="C95" s="72" t="str">
        <x:v>C018</x:v>
      </x:c>
      <x:c r="D95" s="75" t="str">
        <x:f>IFERROR(VLOOKUP(C95,'基础参数'!$A$5:$E$22,2,FALSE),"")</x:f>
        <x:v>Lion City Gear</x:v>
      </x:c>
      <x:c r="E95" s="75" t="str">
        <x:f>IFERROR(VLOOKUP(C95,'基础参数'!$A$5:$E$22,3,FALSE),"")</x:f>
        <x:v>新加坡</x:v>
      </x:c>
      <x:c r="F95" s="75" t="str">
        <x:f>IFERROR(VLOOKUP(C95,'基础参数'!$A$5:$E$22,4,FALSE),"")</x:f>
        <x:v>亚洲</x:v>
      </x:c>
      <x:c r="G95" s="72" t="str">
        <x:v>STV-260</x:v>
      </x:c>
      <x:c r="H95" s="75" t="str">
        <x:f>IFERROR(VLOOKUP(G95,'基础参数'!$G$5:$L$16,2,FALSE),"")</x:f>
        <x:v>便携卡式炉</x:v>
      </x:c>
      <x:c r="I95" s="75" t="str">
        <x:f>IFERROR(VLOOKUP(G95,'基础参数'!$G$5:$L$16,3,FALSE),"")</x:f>
        <x:v>户外炊具</x:v>
      </x:c>
      <x:c r="J95" s="58" t="n">
        <x:v>850</x:v>
      </x:c>
      <x:c r="K95" s="59" t="n">
        <x:v>33.61</x:v>
      </x:c>
      <x:c r="L95" s="60" t="str">
        <x:v>USD</x:v>
      </x:c>
      <x:c r="M95" s="78" t="n">
        <x:f>J95*K95</x:f>
        <x:v>28568.5</x:v>
      </x:c>
      <x:c r="N95" s="60" t="str">
        <x:v>CIF</x:v>
      </x:c>
      <x:c r="O95" s="60" t="str">
        <x:v>海运</x:v>
      </x:c>
      <x:c r="P95" s="60" t="str">
        <x:v>CMA CGM</x:v>
      </x:c>
      <x:c r="Q95" s="60" t="str">
        <x:v>待收尾款</x:v>
      </x:c>
      <x:c r="R95" s="62" t="n">
        <x:v>46210</x:v>
      </x:c>
      <x:c r="S95" s="62" t="n">
        <x:v>46211</x:v>
      </x:c>
      <x:c r="T95" s="62" t="n">
        <x:v>46214</x:v>
      </x:c>
      <x:c r="U95" s="62"/>
      <x:c r="V95" s="62" t="n">
        <x:v>46215</x:v>
      </x:c>
      <x:c r="W95" s="62" t="n">
        <x:v>46254</x:v>
      </x:c>
      <x:c r="X95" s="62"/>
      <x:c r="Y95" s="60" t="str">
        <x:v>待出库</x:v>
      </x:c>
      <x:c r="Z95" s="60" t="str">
        <x:v>待出运</x:v>
      </x:c>
      <x:c r="AA95" s="60" t="str">
        <x:v>已完成</x:v>
      </x:c>
      <x:c r="AB95" s="60" t="str">
        <x:v>已完成</x:v>
      </x:c>
      <x:c r="AC95" s="60" t="str">
        <x:v>已完成</x:v>
      </x:c>
      <x:c r="AD95" s="60" t="str">
        <x:v>待补充</x:v>
      </x:c>
      <x:c r="AE95" s="60" t="str">
        <x:v>待补充</x:v>
      </x:c>
      <x:c r="AF95" s="81" t="n">
        <x:f>COUNTIF(AA95:AE95,"已完成")/5</x:f>
        <x:v>0.6</x:v>
      </x:c>
      <x:c r="AG95" s="75" t="n">
        <x:f>IF(U95&lt;&gt;"","",T95-'基础参数'!$O$2)</x:f>
        <x:v>18</x:v>
      </x:c>
      <x:c r="AH95" s="75" t="str">
        <x:f>IF(X95&lt;&gt;"","已完成",IF(U95&lt;&gt;"",IF(U95&gt;T95,"延迟出库","运输中"),IF(T95&lt;'基础参数'!$O$2,"已逾期",IF(T95-'基础参数'!$O$2&lt;=2,"红色预警",IF(T95-'基础参数'!$O$2&lt;=7,"黄色预警","正常")))))</x:f>
        <x:v>正常</x:v>
      </x:c>
      <x:c r="AI95" s="27" t="str">
        <x:v>甩柜/船期变更</x:v>
      </x:c>
      <x:c r="AJ95" s="27" t="str">
        <x:v>A级</x:v>
      </x:c>
      <x:c r="AK95" s="75" t="str">
        <x:f>IFERROR(VLOOKUP(AI95,'基础参数'!$N$5:$S$19,4,FALSE),"-")</x:f>
        <x:v>物流主管</x:v>
      </x:c>
      <x:c r="AL95" s="33" t="n">
        <x:v>46216</x:v>
      </x:c>
      <x:c r="AM95" s="27" t="str">
        <x:v>已通知</x:v>
      </x:c>
      <x:c r="AN95" s="27" t="str">
        <x:v>处理中</x:v>
      </x:c>
      <x:c r="AO95" s="69" t="str">
        <x:v>甩柜/船期变更导致计划节点存在重大偏差</x:v>
      </x:c>
      <x:c r="AP95" s="69" t="str">
        <x:v>正在协调恢复方案</x:v>
      </x:c>
      <x:c r="AQ95" s="75" t="str">
        <x:f>IF(X95="","",IF(X95&lt;=W95,"是","否"))</x:f>
      </x:c>
      <x:c r="AR95" s="75" t="str">
        <x:f>IFERROR(VLOOKUP(AI95,'基础参数'!$N$5:$S$19,2,FALSE),"无异常")</x:f>
        <x:v>出运</x:v>
      </x:c>
    </x:row>
    <x:row r="96" ht="34" customHeight="1">
      <x:c r="A96" s="49" t="str">
        <x:v>PO-26-091</x:v>
      </x:c>
      <x:c r="B96" s="50" t="n">
        <x:v>46182</x:v>
      </x:c>
      <x:c r="C96" s="72" t="str">
        <x:v>C002</x:v>
      </x:c>
      <x:c r="D96" s="75" t="str">
        <x:f>IFERROR(VLOOKUP(C96,'基础参数'!$A$5:$E$22,2,FALSE),"")</x:f>
        <x:v>Alpine Base SAS</x:v>
      </x:c>
      <x:c r="E96" s="75" t="str">
        <x:f>IFERROR(VLOOKUP(C96,'基础参数'!$A$5:$E$22,3,FALSE),"")</x:f>
        <x:v>法国</x:v>
      </x:c>
      <x:c r="F96" s="75" t="str">
        <x:f>IFERROR(VLOOKUP(C96,'基础参数'!$A$5:$E$22,4,FALSE),"")</x:f>
        <x:v>欧洲</x:v>
      </x:c>
      <x:c r="G96" s="72" t="str">
        <x:v>LGT-100</x:v>
      </x:c>
      <x:c r="H96" s="75" t="str">
        <x:f>IFERROR(VLOOKUP(G96,'基础参数'!$G$5:$L$16,2,FALSE),"")</x:f>
        <x:v>USB充电露营灯</x:v>
      </x:c>
      <x:c r="I96" s="75" t="str">
        <x:f>IFERROR(VLOOKUP(G96,'基础参数'!$G$5:$L$16,3,FALSE),"")</x:f>
        <x:v>露营照明</x:v>
      </x:c>
      <x:c r="J96" s="58" t="n">
        <x:v>2000</x:v>
      </x:c>
      <x:c r="K96" s="59" t="n">
        <x:v>18.4</x:v>
      </x:c>
      <x:c r="L96" s="60" t="str">
        <x:v>EUR</x:v>
      </x:c>
      <x:c r="M96" s="78" t="n">
        <x:f>J96*K96</x:f>
        <x:v>36800</x:v>
      </x:c>
      <x:c r="N96" s="60" t="str">
        <x:v>DDP</x:v>
      </x:c>
      <x:c r="O96" s="60" t="str">
        <x:v>国际快递</x:v>
      </x:c>
      <x:c r="P96" s="60" t="str">
        <x:v>UPS</x:v>
      </x:c>
      <x:c r="Q96" s="60" t="str">
        <x:v>已收款</x:v>
      </x:c>
      <x:c r="R96" s="62" t="n">
        <x:v>46204</x:v>
      </x:c>
      <x:c r="S96" s="62" t="n">
        <x:v>46205</x:v>
      </x:c>
      <x:c r="T96" s="62" t="n">
        <x:v>46208</x:v>
      </x:c>
      <x:c r="U96" s="62" t="n">
        <x:v>46208</x:v>
      </x:c>
      <x:c r="V96" s="62" t="n">
        <x:v>46209</x:v>
      </x:c>
      <x:c r="W96" s="62" t="n">
        <x:v>46214</x:v>
      </x:c>
      <x:c r="X96" s="62"/>
      <x:c r="Y96" s="60" t="str">
        <x:v>国际运输</x:v>
      </x:c>
      <x:c r="Z96" s="60" t="str">
        <x:v>运输中</x:v>
      </x:c>
      <x:c r="AA96" s="60" t="str">
        <x:v>已完成</x:v>
      </x:c>
      <x:c r="AB96" s="60" t="str">
        <x:v>已完成</x:v>
      </x:c>
      <x:c r="AC96" s="60" t="str">
        <x:v>已完成</x:v>
      </x:c>
      <x:c r="AD96" s="60" t="str">
        <x:v>已完成</x:v>
      </x:c>
      <x:c r="AE96" s="60" t="str">
        <x:v>已完成</x:v>
      </x:c>
      <x:c r="AF96" s="81" t="n">
        <x:f>COUNTIF(AA96:AE96,"已完成")/5</x:f>
        <x:v>1</x:v>
      </x:c>
      <x:c r="AG96" s="75" t="str">
        <x:f>IF(U96&lt;&gt;"","",T96-'基础参数'!$O$2)</x:f>
      </x:c>
      <x:c r="AH96" s="75" t="str">
        <x:f>IF(X96&lt;&gt;"","已完成",IF(U96&lt;&gt;"",IF(U96&gt;T96,"延迟出库","运输中"),IF(T96&lt;'基础参数'!$O$2,"已逾期",IF(T96-'基础参数'!$O$2&lt;=2,"红色预警",IF(T96-'基础参数'!$O$2&lt;=7,"黄色预警","正常")))))</x:f>
        <x:v>运输中</x:v>
      </x:c>
      <x:c r="AI96" s="27" t="str">
        <x:v>无异常</x:v>
      </x:c>
      <x:c r="AJ96" s="27" t="str">
        <x:v>-</x:v>
      </x:c>
      <x:c r="AK96" s="75" t="str">
        <x:f>IFERROR(VLOOKUP(AI96,'基础参数'!$N$5:$S$19,4,FALSE),"-")</x:f>
        <x:v>-</x:v>
      </x:c>
      <x:c r="AL96" s="33"/>
      <x:c r="AM96" s="27" t="str">
        <x:v>不适用</x:v>
      </x:c>
      <x:c r="AN96" s="27" t="str">
        <x:v>无异常</x:v>
      </x:c>
      <x:c r="AO96" s="69" t="str"/>
      <x:c r="AP96" s="69" t="str"/>
      <x:c r="AQ96" s="75" t="str">
        <x:f>IF(X96="","",IF(X96&lt;=W96,"是","否"))</x:f>
      </x:c>
      <x:c r="AR96" s="75" t="str">
        <x:f>IFERROR(VLOOKUP(AI96,'基础参数'!$N$5:$S$19,2,FALSE),"无异常")</x:f>
        <x:v>无异常</x:v>
      </x:c>
    </x:row>
    <x:row r="97" ht="34" customHeight="1">
      <x:c r="A97" s="49" t="str">
        <x:v>PO-26-092</x:v>
      </x:c>
      <x:c r="B97" s="50" t="n">
        <x:v>46184</x:v>
      </x:c>
      <x:c r="C97" s="72" t="str">
        <x:v>C008</x:v>
      </x:c>
      <x:c r="D97" s="75" t="str">
        <x:f>IFERROR(VLOOKUP(C97,'基础参数'!$A$5:$E$22,2,FALSE),"")</x:f>
        <x:v>Camp Harbor LLC</x:v>
      </x:c>
      <x:c r="E97" s="75" t="str">
        <x:f>IFERROR(VLOOKUP(C97,'基础参数'!$A$5:$E$22,3,FALSE),"")</x:f>
        <x:v>美国</x:v>
      </x:c>
      <x:c r="F97" s="75" t="str">
        <x:f>IFERROR(VLOOKUP(C97,'基础参数'!$A$5:$E$22,4,FALSE),"")</x:f>
        <x:v>北美</x:v>
      </x:c>
      <x:c r="G97" s="72" t="str">
        <x:v>CHR-110</x:v>
      </x:c>
      <x:c r="H97" s="75" t="str">
        <x:f>IFERROR(VLOOKUP(G97,'基础参数'!$G$5:$L$16,2,FALSE),"")</x:f>
        <x:v>铝合金折叠椅</x:v>
      </x:c>
      <x:c r="I97" s="75" t="str">
        <x:f>IFERROR(VLOOKUP(G97,'基础参数'!$G$5:$L$16,3,FALSE),"")</x:f>
        <x:v>折叠家具</x:v>
      </x:c>
      <x:c r="J97" s="58" t="n">
        <x:v>1650</x:v>
      </x:c>
      <x:c r="K97" s="59" t="n">
        <x:v>24.4</x:v>
      </x:c>
      <x:c r="L97" s="60" t="str">
        <x:v>USD</x:v>
      </x:c>
      <x:c r="M97" s="78" t="n">
        <x:f>J97*K97</x:f>
        <x:v>40260</x:v>
      </x:c>
      <x:c r="N97" s="60" t="str">
        <x:v>CIF</x:v>
      </x:c>
      <x:c r="O97" s="60" t="str">
        <x:v>国际快递</x:v>
      </x:c>
      <x:c r="P97" s="60" t="str">
        <x:v>DHL Express</x:v>
      </x:c>
      <x:c r="Q97" s="60" t="str">
        <x:v>已收款</x:v>
      </x:c>
      <x:c r="R97" s="62" t="n">
        <x:v>46208</x:v>
      </x:c>
      <x:c r="S97" s="62" t="n">
        <x:v>46206</x:v>
      </x:c>
      <x:c r="T97" s="62" t="n">
        <x:v>46212</x:v>
      </x:c>
      <x:c r="U97" s="62" t="n">
        <x:v>46213</x:v>
      </x:c>
      <x:c r="V97" s="62" t="n">
        <x:v>46214</x:v>
      </x:c>
      <x:c r="W97" s="62" t="n">
        <x:v>46219</x:v>
      </x:c>
      <x:c r="X97" s="62"/>
      <x:c r="Y97" s="60" t="str">
        <x:v>国际运输</x:v>
      </x:c>
      <x:c r="Z97" s="60" t="str">
        <x:v>运输中</x:v>
      </x:c>
      <x:c r="AA97" s="60" t="str">
        <x:v>已完成</x:v>
      </x:c>
      <x:c r="AB97" s="60" t="str">
        <x:v>已完成</x:v>
      </x:c>
      <x:c r="AC97" s="60" t="str">
        <x:v>已完成</x:v>
      </x:c>
      <x:c r="AD97" s="60" t="str">
        <x:v>已完成</x:v>
      </x:c>
      <x:c r="AE97" s="60" t="str">
        <x:v>已完成</x:v>
      </x:c>
      <x:c r="AF97" s="81" t="n">
        <x:f>COUNTIF(AA97:AE97,"已完成")/5</x:f>
        <x:v>1</x:v>
      </x:c>
      <x:c r="AG97" s="75" t="str">
        <x:f>IF(U97&lt;&gt;"","",T97-'基础参数'!$O$2)</x:f>
      </x:c>
      <x:c r="AH97" s="75" t="str">
        <x:f>IF(X97&lt;&gt;"","已完成",IF(U97&lt;&gt;"",IF(U97&gt;T97,"延迟出库","运输中"),IF(T97&lt;'基础参数'!$O$2,"已逾期",IF(T97-'基础参数'!$O$2&lt;=2,"红色预警",IF(T97-'基础参数'!$O$2&lt;=7,"黄色预警","正常")))))</x:f>
        <x:v>延迟出库</x:v>
      </x:c>
      <x:c r="AI97" s="27" t="str">
        <x:v>无异常</x:v>
      </x:c>
      <x:c r="AJ97" s="27" t="str">
        <x:v>-</x:v>
      </x:c>
      <x:c r="AK97" s="75" t="str">
        <x:f>IFERROR(VLOOKUP(AI97,'基础参数'!$N$5:$S$19,4,FALSE),"-")</x:f>
        <x:v>-</x:v>
      </x:c>
      <x:c r="AL97" s="33"/>
      <x:c r="AM97" s="27" t="str">
        <x:v>不适用</x:v>
      </x:c>
      <x:c r="AN97" s="27" t="str">
        <x:v>无异常</x:v>
      </x:c>
      <x:c r="AO97" s="69" t="str"/>
      <x:c r="AP97" s="69" t="str"/>
      <x:c r="AQ97" s="75" t="str">
        <x:f>IF(X97="","",IF(X97&lt;=W97,"是","否"))</x:f>
      </x:c>
      <x:c r="AR97" s="75" t="str">
        <x:f>IFERROR(VLOOKUP(AI97,'基础参数'!$N$5:$S$19,2,FALSE),"无异常")</x:f>
        <x:v>无异常</x:v>
      </x:c>
    </x:row>
    <x:row r="98" ht="34" customHeight="1">
      <x:c r="A98" s="49" t="str">
        <x:v>PO-26-093</x:v>
      </x:c>
      <x:c r="B98" s="50" t="n">
        <x:v>46186</x:v>
      </x:c>
      <x:c r="C98" s="72" t="str">
        <x:v>C012</x:v>
      </x:c>
      <x:c r="D98" s="75" t="str">
        <x:f>IFERROR(VLOOKUP(C98,'基础参数'!$A$5:$E$22,2,FALSE),"")</x:f>
        <x:v>Outback Living Pty</x:v>
      </x:c>
      <x:c r="E98" s="75" t="str">
        <x:f>IFERROR(VLOOKUP(C98,'基础参数'!$A$5:$E$22,3,FALSE),"")</x:f>
        <x:v>澳大利亚</x:v>
      </x:c>
      <x:c r="F98" s="75" t="str">
        <x:f>IFERROR(VLOOKUP(C98,'基础参数'!$A$5:$E$22,4,FALSE),"")</x:f>
        <x:v>澳洲</x:v>
      </x:c>
      <x:c r="G98" s="72" t="str">
        <x:v>LGT-100</x:v>
      </x:c>
      <x:c r="H98" s="75" t="str">
        <x:f>IFERROR(VLOOKUP(G98,'基础参数'!$G$5:$L$16,2,FALSE),"")</x:f>
        <x:v>USB充电露营灯</x:v>
      </x:c>
      <x:c r="I98" s="75" t="str">
        <x:f>IFERROR(VLOOKUP(G98,'基础参数'!$G$5:$L$16,3,FALSE),"")</x:f>
        <x:v>露营照明</x:v>
      </x:c>
      <x:c r="J98" s="58" t="n">
        <x:v>2250</x:v>
      </x:c>
      <x:c r="K98" s="59" t="n">
        <x:v>19.27</x:v>
      </x:c>
      <x:c r="L98" s="60" t="str">
        <x:v>USD</x:v>
      </x:c>
      <x:c r="M98" s="78" t="n">
        <x:f>J98*K98</x:f>
        <x:v>43357.5</x:v>
      </x:c>
      <x:c r="N98" s="60" t="str">
        <x:v>CIF</x:v>
      </x:c>
      <x:c r="O98" s="60" t="str">
        <x:v>空运</x:v>
      </x:c>
      <x:c r="P98" s="60" t="str">
        <x:v>Kuehne+Nagel</x:v>
      </x:c>
      <x:c r="Q98" s="60" t="str">
        <x:v>已收款</x:v>
      </x:c>
      <x:c r="R98" s="62" t="n">
        <x:v>46208</x:v>
      </x:c>
      <x:c r="S98" s="62" t="n">
        <x:v>46207</x:v>
      </x:c>
      <x:c r="T98" s="62" t="n">
        <x:v>46212</x:v>
      </x:c>
      <x:c r="U98" s="62" t="n">
        <x:v>46213</x:v>
      </x:c>
      <x:c r="V98" s="62" t="n">
        <x:v>46214</x:v>
      </x:c>
      <x:c r="W98" s="62" t="n">
        <x:v>46222</x:v>
      </x:c>
      <x:c r="X98" s="62"/>
      <x:c r="Y98" s="60" t="str">
        <x:v>国际运输</x:v>
      </x:c>
      <x:c r="Z98" s="60" t="str">
        <x:v>运输中</x:v>
      </x:c>
      <x:c r="AA98" s="60" t="str">
        <x:v>已完成</x:v>
      </x:c>
      <x:c r="AB98" s="60" t="str">
        <x:v>已完成</x:v>
      </x:c>
      <x:c r="AC98" s="60" t="str">
        <x:v>已完成</x:v>
      </x:c>
      <x:c r="AD98" s="60" t="str">
        <x:v>已完成</x:v>
      </x:c>
      <x:c r="AE98" s="60" t="str">
        <x:v>已完成</x:v>
      </x:c>
      <x:c r="AF98" s="81" t="n">
        <x:f>COUNTIF(AA98:AE98,"已完成")/5</x:f>
        <x:v>1</x:v>
      </x:c>
      <x:c r="AG98" s="75" t="str">
        <x:f>IF(U98&lt;&gt;"","",T98-'基础参数'!$O$2)</x:f>
      </x:c>
      <x:c r="AH98" s="75" t="str">
        <x:f>IF(X98&lt;&gt;"","已完成",IF(U98&lt;&gt;"",IF(U98&gt;T98,"延迟出库","运输中"),IF(T98&lt;'基础参数'!$O$2,"已逾期",IF(T98-'基础参数'!$O$2&lt;=2,"红色预警",IF(T98-'基础参数'!$O$2&lt;=7,"黄色预警","正常")))))</x:f>
        <x:v>延迟出库</x:v>
      </x:c>
      <x:c r="AI98" s="27" t="str">
        <x:v>无异常</x:v>
      </x:c>
      <x:c r="AJ98" s="27" t="str">
        <x:v>-</x:v>
      </x:c>
      <x:c r="AK98" s="75" t="str">
        <x:f>IFERROR(VLOOKUP(AI98,'基础参数'!$N$5:$S$19,4,FALSE),"-")</x:f>
        <x:v>-</x:v>
      </x:c>
      <x:c r="AL98" s="33"/>
      <x:c r="AM98" s="27" t="str">
        <x:v>不适用</x:v>
      </x:c>
      <x:c r="AN98" s="27" t="str">
        <x:v>无异常</x:v>
      </x:c>
      <x:c r="AO98" s="69" t="str"/>
      <x:c r="AP98" s="69" t="str"/>
      <x:c r="AQ98" s="75" t="str">
        <x:f>IF(X98="","",IF(X98&lt;=W98,"是","否"))</x:f>
      </x:c>
      <x:c r="AR98" s="75" t="str">
        <x:f>IFERROR(VLOOKUP(AI98,'基础参数'!$N$5:$S$19,2,FALSE),"无异常")</x:f>
        <x:v>无异常</x:v>
      </x:c>
    </x:row>
    <x:row r="99" ht="34" customHeight="1">
      <x:c r="A99" s="49" t="str">
        <x:v>PO-26-094</x:v>
      </x:c>
      <x:c r="B99" s="50" t="n">
        <x:v>46187</x:v>
      </x:c>
      <x:c r="C99" s="72" t="str">
        <x:v>C001</x:v>
      </x:c>
      <x:c r="D99" s="75" t="str">
        <x:f>IFERROR(VLOOKUP(C99,'基础参数'!$A$5:$E$22,2,FALSE),"")</x:f>
        <x:v>NordTrail GmbH</x:v>
      </x:c>
      <x:c r="E99" s="75" t="str">
        <x:f>IFERROR(VLOOKUP(C99,'基础参数'!$A$5:$E$22,3,FALSE),"")</x:f>
        <x:v>德国</x:v>
      </x:c>
      <x:c r="F99" s="75" t="str">
        <x:f>IFERROR(VLOOKUP(C99,'基础参数'!$A$5:$E$22,4,FALSE),"")</x:f>
        <x:v>欧洲</x:v>
      </x:c>
      <x:c r="G99" s="72" t="str">
        <x:v>SLP-120</x:v>
      </x:c>
      <x:c r="H99" s="75" t="str">
        <x:f>IFERROR(VLOOKUP(G99,'基础参数'!$G$5:$L$16,2,FALSE),"")</x:f>
        <x:v>三季木乃伊睡袋</x:v>
      </x:c>
      <x:c r="I99" s="75" t="str">
        <x:f>IFERROR(VLOOKUP(G99,'基础参数'!$G$5:$L$16,3,FALSE),"")</x:f>
        <x:v>睡袋</x:v>
      </x:c>
      <x:c r="J99" s="58" t="n">
        <x:v>2000</x:v>
      </x:c>
      <x:c r="K99" s="59" t="n">
        <x:v>30.11</x:v>
      </x:c>
      <x:c r="L99" s="60" t="str">
        <x:v>EUR</x:v>
      </x:c>
      <x:c r="M99" s="78" t="n">
        <x:f>J99*K99</x:f>
        <x:v>60220</x:v>
      </x:c>
      <x:c r="N99" s="60" t="str">
        <x:v>DDP</x:v>
      </x:c>
      <x:c r="O99" s="60" t="str">
        <x:v>国际快递</x:v>
      </x:c>
      <x:c r="P99" s="60" t="str">
        <x:v>DHL Express</x:v>
      </x:c>
      <x:c r="Q99" s="60" t="str">
        <x:v>已收款</x:v>
      </x:c>
      <x:c r="R99" s="62" t="n">
        <x:v>46216</x:v>
      </x:c>
      <x:c r="S99" s="62" t="n">
        <x:v>46216</x:v>
      </x:c>
      <x:c r="T99" s="62" t="n">
        <x:v>46220</x:v>
      </x:c>
      <x:c r="U99" s="62" t="n">
        <x:v>46220</x:v>
      </x:c>
      <x:c r="V99" s="62" t="n">
        <x:v>46221</x:v>
      </x:c>
      <x:c r="W99" s="62" t="n">
        <x:v>46226</x:v>
      </x:c>
      <x:c r="X99" s="62"/>
      <x:c r="Y99" s="60" t="str">
        <x:v>国际运输</x:v>
      </x:c>
      <x:c r="Z99" s="60" t="str">
        <x:v>轨迹停滞</x:v>
      </x:c>
      <x:c r="AA99" s="60" t="str">
        <x:v>已完成</x:v>
      </x:c>
      <x:c r="AB99" s="60" t="str">
        <x:v>已完成</x:v>
      </x:c>
      <x:c r="AC99" s="60" t="str">
        <x:v>已完成</x:v>
      </x:c>
      <x:c r="AD99" s="60" t="str">
        <x:v>已完成</x:v>
      </x:c>
      <x:c r="AE99" s="60" t="str">
        <x:v>已完成</x:v>
      </x:c>
      <x:c r="AF99" s="81" t="n">
        <x:f>COUNTIF(AA99:AE99,"已完成")/5</x:f>
        <x:v>1</x:v>
      </x:c>
      <x:c r="AG99" s="75" t="str">
        <x:f>IF(U99&lt;&gt;"","",T99-'基础参数'!$O$2)</x:f>
      </x:c>
      <x:c r="AH99" s="75" t="str">
        <x:f>IF(X99&lt;&gt;"","已完成",IF(U99&lt;&gt;"",IF(U99&gt;T99,"延迟出库","运输中"),IF(T99&lt;'基础参数'!$O$2,"已逾期",IF(T99-'基础参数'!$O$2&lt;=2,"红色预警",IF(T99-'基础参数'!$O$2&lt;=7,"黄色预警","正常")))))</x:f>
        <x:v>运输中</x:v>
      </x:c>
      <x:c r="AI99" s="27" t="str">
        <x:v>物流轨迹停滞</x:v>
      </x:c>
      <x:c r="AJ99" s="27" t="str">
        <x:v>B级</x:v>
      </x:c>
      <x:c r="AK99" s="75" t="str">
        <x:f>IFERROR(VLOOKUP(AI99,'基础参数'!$N$5:$S$19,4,FALSE),"-")</x:f>
        <x:v>物流操作</x:v>
      </x:c>
      <x:c r="AL99" s="33" t="n">
        <x:v>46222</x:v>
      </x:c>
      <x:c r="AM99" s="27" t="str">
        <x:v>已通知</x:v>
      </x:c>
      <x:c r="AN99" s="27" t="str">
        <x:v>处理中</x:v>
      </x:c>
      <x:c r="AO99" s="69" t="str">
        <x:v>物流轨迹停滞导致计划节点存在一般偏差</x:v>
      </x:c>
      <x:c r="AP99" s="69" t="str">
        <x:v>正在协调恢复方案</x:v>
      </x:c>
      <x:c r="AQ99" s="75" t="str">
        <x:f>IF(X99="","",IF(X99&lt;=W99,"是","否"))</x:f>
      </x:c>
      <x:c r="AR99" s="75" t="str">
        <x:f>IFERROR(VLOOKUP(AI99,'基础参数'!$N$5:$S$19,2,FALSE),"无异常")</x:f>
        <x:v>在途物流</x:v>
      </x:c>
    </x:row>
    <x:row r="100" ht="34" customHeight="1">
      <x:c r="A100" s="49" t="str">
        <x:v>PO-26-095</x:v>
      </x:c>
      <x:c r="B100" s="50" t="n">
        <x:v>46189</x:v>
      </x:c>
      <x:c r="C100" s="72" t="str">
        <x:v>C005</x:v>
      </x:c>
      <x:c r="D100" s="75" t="str">
        <x:f>IFERROR(VLOOKUP(C100,'基础参数'!$A$5:$E$22,2,FALSE),"")</x:f>
        <x:v>Terra Outdoor SRL</x:v>
      </x:c>
      <x:c r="E100" s="75" t="str">
        <x:f>IFERROR(VLOOKUP(C100,'基础参数'!$A$5:$E$22,3,FALSE),"")</x:f>
        <x:v>意大利</x:v>
      </x:c>
      <x:c r="F100" s="75" t="str">
        <x:f>IFERROR(VLOOKUP(C100,'基础参数'!$A$5:$E$22,4,FALSE),"")</x:f>
        <x:v>欧洲</x:v>
      </x:c>
      <x:c r="G100" s="72" t="str">
        <x:v>TEN-210</x:v>
      </x:c>
      <x:c r="H100" s="75" t="str">
        <x:f>IFERROR(VLOOKUP(G100,'基础参数'!$G$5:$L$16,2,FALSE),"")</x:f>
        <x:v>双人轻量帐篷</x:v>
      </x:c>
      <x:c r="I100" s="75" t="str">
        <x:f>IFERROR(VLOOKUP(G100,'基础参数'!$G$5:$L$16,3,FALSE),"")</x:f>
        <x:v>帐篷</x:v>
      </x:c>
      <x:c r="J100" s="58" t="n">
        <x:v>800</x:v>
      </x:c>
      <x:c r="K100" s="59" t="n">
        <x:v>60.31</x:v>
      </x:c>
      <x:c r="L100" s="60" t="str">
        <x:v>EUR</x:v>
      </x:c>
      <x:c r="M100" s="78" t="n">
        <x:f>J100*K100</x:f>
        <x:v>48248</x:v>
      </x:c>
      <x:c r="N100" s="60" t="str">
        <x:v>CIF</x:v>
      </x:c>
      <x:c r="O100" s="60" t="str">
        <x:v>国际快递</x:v>
      </x:c>
      <x:c r="P100" s="60" t="str">
        <x:v>UPS</x:v>
      </x:c>
      <x:c r="Q100" s="60" t="str">
        <x:v>已收款</x:v>
      </x:c>
      <x:c r="R100" s="62" t="n">
        <x:v>46221</x:v>
      </x:c>
      <x:c r="S100" s="62" t="n">
        <x:v>46219</x:v>
      </x:c>
      <x:c r="T100" s="62" t="n">
        <x:v>46225</x:v>
      </x:c>
      <x:c r="U100" s="62" t="n">
        <x:v>46224</x:v>
      </x:c>
      <x:c r="V100" s="62" t="n">
        <x:v>46225</x:v>
      </x:c>
      <x:c r="W100" s="62" t="n">
        <x:v>46230</x:v>
      </x:c>
      <x:c r="X100" s="62"/>
      <x:c r="Y100" s="60" t="str">
        <x:v>国际运输</x:v>
      </x:c>
      <x:c r="Z100" s="60" t="str">
        <x:v>运输中</x:v>
      </x:c>
      <x:c r="AA100" s="60" t="str">
        <x:v>已完成</x:v>
      </x:c>
      <x:c r="AB100" s="60" t="str">
        <x:v>已完成</x:v>
      </x:c>
      <x:c r="AC100" s="60" t="str">
        <x:v>已完成</x:v>
      </x:c>
      <x:c r="AD100" s="60" t="str">
        <x:v>已完成</x:v>
      </x:c>
      <x:c r="AE100" s="60" t="str">
        <x:v>已完成</x:v>
      </x:c>
      <x:c r="AF100" s="81" t="n">
        <x:f>COUNTIF(AA100:AE100,"已完成")/5</x:f>
        <x:v>1</x:v>
      </x:c>
      <x:c r="AG100" s="75" t="str">
        <x:f>IF(U100&lt;&gt;"","",T100-'基础参数'!$O$2)</x:f>
      </x:c>
      <x:c r="AH100" s="75" t="str">
        <x:f>IF(X100&lt;&gt;"","已完成",IF(U100&lt;&gt;"",IF(U100&gt;T100,"延迟出库","运输中"),IF(T100&lt;'基础参数'!$O$2,"已逾期",IF(T100-'基础参数'!$O$2&lt;=2,"红色预警",IF(T100-'基础参数'!$O$2&lt;=7,"黄色预警","正常")))))</x:f>
        <x:v>运输中</x:v>
      </x:c>
      <x:c r="AI100" s="27" t="str">
        <x:v>无异常</x:v>
      </x:c>
      <x:c r="AJ100" s="27" t="str">
        <x:v>-</x:v>
      </x:c>
      <x:c r="AK100" s="75" t="str">
        <x:f>IFERROR(VLOOKUP(AI100,'基础参数'!$N$5:$S$19,4,FALSE),"-")</x:f>
        <x:v>-</x:v>
      </x:c>
      <x:c r="AL100" s="33"/>
      <x:c r="AM100" s="27" t="str">
        <x:v>不适用</x:v>
      </x:c>
      <x:c r="AN100" s="27" t="str">
        <x:v>无异常</x:v>
      </x:c>
      <x:c r="AO100" s="69" t="str"/>
      <x:c r="AP100" s="69" t="str"/>
      <x:c r="AQ100" s="75" t="str">
        <x:f>IF(X100="","",IF(X100&lt;=W100,"是","否"))</x:f>
      </x:c>
      <x:c r="AR100" s="75" t="str">
        <x:f>IFERROR(VLOOKUP(AI100,'基础参数'!$N$5:$S$19,2,FALSE),"无异常")</x:f>
        <x:v>无异常</x:v>
      </x:c>
    </x:row>
    <x:row r="101" ht="34" customHeight="1">
      <x:c r="A101" s="51" t="str">
        <x:v>PO-26-096</x:v>
      </x:c>
      <x:c r="B101" s="52" t="n">
        <x:v>46191</x:v>
      </x:c>
      <x:c r="C101" s="73" t="str">
        <x:v>C009</x:v>
      </x:c>
      <x:c r="D101" s="76" t="str">
        <x:f>IFERROR(VLOOKUP(C101,'基础参数'!$A$5:$E$22,2,FALSE),"")</x:f>
        <x:v>NorthWood Retail</x:v>
      </x:c>
      <x:c r="E101" s="76" t="str">
        <x:f>IFERROR(VLOOKUP(C101,'基础参数'!$A$5:$E$22,3,FALSE),"")</x:f>
        <x:v>加拿大</x:v>
      </x:c>
      <x:c r="F101" s="76" t="str">
        <x:f>IFERROR(VLOOKUP(C101,'基础参数'!$A$5:$E$22,4,FALSE),"")</x:f>
        <x:v>北美</x:v>
      </x:c>
      <x:c r="G101" s="73" t="str">
        <x:v>LGT-100</x:v>
      </x:c>
      <x:c r="H101" s="76" t="str">
        <x:f>IFERROR(VLOOKUP(G101,'基础参数'!$G$5:$L$16,2,FALSE),"")</x:f>
        <x:v>USB充电露营灯</x:v>
      </x:c>
      <x:c r="I101" s="76" t="str">
        <x:f>IFERROR(VLOOKUP(G101,'基础参数'!$G$5:$L$16,3,FALSE),"")</x:f>
        <x:v>露营照明</x:v>
      </x:c>
      <x:c r="J101" s="63" t="n">
        <x:v>1750</x:v>
      </x:c>
      <x:c r="K101" s="64" t="n">
        <x:v>18.72</x:v>
      </x:c>
      <x:c r="L101" s="65" t="str">
        <x:v>USD</x:v>
      </x:c>
      <x:c r="M101" s="79" t="n">
        <x:f>J101*K101</x:f>
        <x:v>32759.999999999996</x:v>
      </x:c>
      <x:c r="N101" s="65" t="str">
        <x:v>FOB</x:v>
      </x:c>
      <x:c r="O101" s="65" t="str">
        <x:v>海运</x:v>
      </x:c>
      <x:c r="P101" s="65" t="str">
        <x:v>COSCO</x:v>
      </x:c>
      <x:c r="Q101" s="65" t="str">
        <x:v>已收款</x:v>
      </x:c>
      <x:c r="R101" s="67" t="n">
        <x:v>46213</x:v>
      </x:c>
      <x:c r="S101" s="67" t="n">
        <x:v>46213</x:v>
      </x:c>
      <x:c r="T101" s="67" t="n">
        <x:v>46217</x:v>
      </x:c>
      <x:c r="U101" s="67" t="n">
        <x:v>46218</x:v>
      </x:c>
      <x:c r="V101" s="67" t="n">
        <x:v>46219</x:v>
      </x:c>
      <x:c r="W101" s="67" t="n">
        <x:v>46251</x:v>
      </x:c>
      <x:c r="X101" s="67"/>
      <x:c r="Y101" s="65" t="str">
        <x:v>国际运输</x:v>
      </x:c>
      <x:c r="Z101" s="65" t="str">
        <x:v>运输中</x:v>
      </x:c>
      <x:c r="AA101" s="65" t="str">
        <x:v>已完成</x:v>
      </x:c>
      <x:c r="AB101" s="65" t="str">
        <x:v>已完成</x:v>
      </x:c>
      <x:c r="AC101" s="65" t="str">
        <x:v>已完成</x:v>
      </x:c>
      <x:c r="AD101" s="65" t="str">
        <x:v>已完成</x:v>
      </x:c>
      <x:c r="AE101" s="65" t="str">
        <x:v>已完成</x:v>
      </x:c>
      <x:c r="AF101" s="82" t="n">
        <x:f>COUNTIF(AA101:AE101,"已完成")/5</x:f>
        <x:v>1</x:v>
      </x:c>
      <x:c r="AG101" s="76" t="str">
        <x:f>IF(U101&lt;&gt;"","",T101-'基础参数'!$O$2)</x:f>
      </x:c>
      <x:c r="AH101" s="76" t="str">
        <x:f>IF(X101&lt;&gt;"","已完成",IF(U101&lt;&gt;"",IF(U101&gt;T101,"延迟出库","运输中"),IF(T101&lt;'基础参数'!$O$2,"已逾期",IF(T101-'基础参数'!$O$2&lt;=2,"红色预警",IF(T101-'基础参数'!$O$2&lt;=7,"黄色预警","正常")))))</x:f>
        <x:v>延迟出库</x:v>
      </x:c>
      <x:c r="AI101" s="28" t="str">
        <x:v>无异常</x:v>
      </x:c>
      <x:c r="AJ101" s="28" t="str">
        <x:v>-</x:v>
      </x:c>
      <x:c r="AK101" s="76" t="str">
        <x:f>IFERROR(VLOOKUP(AI101,'基础参数'!$N$5:$S$19,4,FALSE),"-")</x:f>
        <x:v>-</x:v>
      </x:c>
      <x:c r="AL101" s="34"/>
      <x:c r="AM101" s="28" t="str">
        <x:v>不适用</x:v>
      </x:c>
      <x:c r="AN101" s="28" t="str">
        <x:v>无异常</x:v>
      </x:c>
      <x:c r="AO101" s="70" t="str"/>
      <x:c r="AP101" s="70" t="str"/>
      <x:c r="AQ101" s="76" t="str">
        <x:f>IF(X101="","",IF(X101&lt;=W101,"是","否"))</x:f>
      </x:c>
      <x:c r="AR101" s="76" t="str">
        <x:f>IFERROR(VLOOKUP(AI101,'基础参数'!$N$5:$S$19,2,FALSE),"无异常")</x:f>
        <x:v>无异常</x:v>
      </x:c>
    </x:row>
  </x:sheetData>
  <x:mergeCells>
    <x:mergeCell ref="A1:AR1"/>
    <x:mergeCell ref="A2:AR2"/>
    <x:mergeCell ref="A3:H3"/>
  </x:mergeCells>
  <x:conditionalFormatting sqref="AH6:AH101">
    <x:cfRule type="containsText" dxfId="0" priority="1" operator="containsText" text="已逾期"/>
    <x:cfRule type="containsText" dxfId="1" priority="2" operator="containsText" text="红色预警"/>
    <x:cfRule type="containsText" dxfId="2" priority="3" operator="containsText" text="黄色预警"/>
  </x:conditionalFormatting>
  <x:conditionalFormatting sqref="AF6:AF101">
    <x:cfRule type="cellIs" dxfId="3" priority="4" operator="lessThan">
      <x:formula>1</x:formula>
    </x:cfRule>
  </x:conditionalFormatting>
  <x:conditionalFormatting sqref="AJ6:AJ101">
    <x:cfRule type="containsText" dxfId="4" priority="5" operator="containsText" text="A级"/>
  </x:conditionalFormatting>
  <x:conditionalFormatting sqref="AN6:AN101">
    <x:cfRule type="containsText" dxfId="5" priority="6" operator="containsText" text="待处理"/>
    <x:cfRule type="containsText" dxfId="6" priority="7" operator="containsText" text="处理中"/>
  </x:conditionalFormatting>
  <x:dataValidations count="4">
    <x:dataValidation type="list" sqref="Q6:Q101">
      <x:formula1>"已收款,已收定金,待收尾款,逾期未付"</x:formula1>
    </x:dataValidation>
    <x:dataValidation type="list" sqref="AA6:AE101">
      <x:formula1>"已完成,待补充"</x:formula1>
    </x:dataValidation>
    <x:dataValidation type="list" sqref="AM6:AM101">
      <x:formula1>"已通知,待通知,不适用"</x:formula1>
    </x:dataValidation>
    <x:dataValidation type="list" sqref="AN6:AN101">
      <x:formula1>"无异常,待处理,处理中,已关闭"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801c6480e947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12" hidden="0" customWidth="1"/>
    <x:col min="4" max="4" width="10" hidden="0" customWidth="1"/>
    <x:col min="5" max="5" width="11" hidden="0" customWidth="1"/>
    <x:col min="7" max="7" width="11" hidden="0" customWidth="1"/>
    <x:col min="8" max="8" width="21" hidden="0" customWidth="1"/>
    <x:col min="9" max="9" width="13" hidden="0" customWidth="1"/>
    <x:col min="10" max="10" width="14" hidden="0" customWidth="1"/>
    <x:col min="11" max="11" width="18" hidden="0" customWidth="1"/>
    <x:col min="12" max="12" width="11" hidden="0" customWidth="1"/>
    <x:col min="14" max="14" width="18" hidden="0" customWidth="1"/>
    <x:col min="15" max="15" width="17" hidden="0" customWidth="1"/>
    <x:col min="16" max="16" width="11" hidden="0" customWidth="1"/>
    <x:col min="17" max="17" width="16" hidden="0" customWidth="1"/>
    <x:col min="18" max="18" width="14" hidden="0" customWidth="1"/>
    <x:col min="19" max="19" width="18" hidden="0" customWidth="1"/>
  </x:cols>
  <x:sheetData>
    <x:row r="1" ht="34" customHeight="1">
      <x:c r="A1" s="4" t="str">
        <x:v>基础参数与主数据</x:v>
      </x:c>
    </x:row>
    <x:row r="2" ht="22" customHeight="1">
      <x:c r="A2" s="7" t="str">
        <x:v>所有查找字段与预警规则的唯一来源；主数据修改后，VLOOKUP字段自动更新</x:v>
      </x:c>
      <x:c r="B2" s="7" t="str">
        <x:v>所有查找字段与预警规则的唯一来源；主数据修改后，VLOOKUP字段自动更新</x:v>
      </x:c>
      <x:c r="C2" s="7" t="str">
        <x:v>所有查找字段与预警规则的唯一来源；主数据修改后，VLOOKUP字段自动更新</x:v>
      </x:c>
      <x:c r="D2" s="7" t="str">
        <x:v>所有查找字段与预警规则的唯一来源；主数据修改后，VLOOKUP字段自动更新</x:v>
      </x:c>
      <x:c r="E2" s="7" t="str">
        <x:v>所有查找字段与预警规则的唯一来源；主数据修改后，VLOOKUP字段自动更新</x:v>
      </x:c>
      <x:c r="F2" s="7" t="str">
        <x:v>所有查找字段与预警规则的唯一来源；主数据修改后，VLOOKUP字段自动更新</x:v>
      </x:c>
      <x:c r="G2" s="7" t="str">
        <x:v>所有查找字段与预警规则的唯一来源；主数据修改后，VLOOKUP字段自动更新</x:v>
      </x:c>
      <x:c r="H2" s="7" t="str">
        <x:v>所有查找字段与预警规则的唯一来源；主数据修改后，VLOOKUP字段自动更新</x:v>
      </x:c>
      <x:c r="I2" s="7" t="str">
        <x:v>所有查找字段与预警规则的唯一来源；主数据修改后，VLOOKUP字段自动更新</x:v>
      </x:c>
      <x:c r="J2" s="7" t="str">
        <x:v>所有查找字段与预警规则的唯一来源；主数据修改后，VLOOKUP字段自动更新</x:v>
      </x:c>
      <x:c r="K2" s="7" t="str">
        <x:v>所有查找字段与预警规则的唯一来源；主数据修改后，VLOOKUP字段自动更新</x:v>
      </x:c>
      <x:c r="L2" s="7" t="str">
        <x:v>所有查找字段与预警规则的唯一来源；主数据修改后，VLOOKUP字段自动更新</x:v>
      </x:c>
      <x:c r="M2" s="7" t="str">
        <x:v>所有查找字段与预警规则的唯一来源；主数据修改后，VLOOKUP字段自动更新</x:v>
      </x:c>
      <x:c r="N2" s="7" t="str">
        <x:v>数据截止日期</x:v>
      </x:c>
      <x:c r="O2" s="29" t="n">
        <x:v>46196</x:v>
      </x:c>
      <x:c r="P2" s="7" t="str">
        <x:v>所有查找字段与预警规则的唯一来源；主数据修改后，VLOOKUP字段自动更新</x:v>
      </x:c>
      <x:c r="Q2" s="7" t="str">
        <x:v>所有查找字段与预警规则的唯一来源；主数据修改后，VLOOKUP字段自动更新</x:v>
      </x:c>
      <x:c r="R2" s="7" t="str">
        <x:v>所有查找字段与预警规则的唯一来源；主数据修改后，VLOOKUP字段自动更新</x:v>
      </x:c>
      <x:c r="S2" s="7" t="str">
        <x:v>所有查找字段与预警规则的唯一来源；主数据修改后，VLOOKUP字段自动更新</x:v>
      </x:c>
    </x:row>
    <x:row r="4" ht="32" customHeight="1">
      <x:c r="A4" s="19" t="str">
        <x:v>客户编码</x:v>
      </x:c>
      <x:c r="B4" s="20" t="str">
        <x:v>客户名称</x:v>
      </x:c>
      <x:c r="C4" s="20" t="str">
        <x:v>国家</x:v>
      </x:c>
      <x:c r="D4" s="20" t="str">
        <x:v>区域</x:v>
      </x:c>
      <x:c r="E4" s="21" t="str">
        <x:v>默认币种</x:v>
      </x:c>
      <x:c r="G4" s="19" t="str">
        <x:v>SKU</x:v>
      </x:c>
      <x:c r="H4" s="20" t="str">
        <x:v>产品名称</x:v>
      </x:c>
      <x:c r="I4" s="20" t="str">
        <x:v>品类</x:v>
      </x:c>
      <x:c r="J4" s="20" t="str">
        <x:v>参考单价(USD)</x:v>
      </x:c>
      <x:c r="K4" s="20" t="str">
        <x:v>标准生产周期(天)</x:v>
      </x:c>
      <x:c r="L4" s="21" t="str">
        <x:v>HS编码</x:v>
      </x:c>
      <x:c r="N4" s="19" t="str">
        <x:v>异常类型</x:v>
      </x:c>
      <x:c r="O4" s="20" t="str">
        <x:v>异常大类</x:v>
      </x:c>
      <x:c r="P4" s="20" t="str">
        <x:v>默认等级</x:v>
      </x:c>
      <x:c r="Q4" s="20" t="str">
        <x:v>第一责任人</x:v>
      </x:c>
      <x:c r="R4" s="20" t="str">
        <x:v>方案时限(小时)</x:v>
      </x:c>
      <x:c r="S4" s="21" t="str">
        <x:v>升级要求</x:v>
      </x:c>
    </x:row>
    <x:row r="5">
      <x:c r="A5" s="26" t="str">
        <x:v>C001</x:v>
      </x:c>
      <x:c r="B5" s="26" t="str">
        <x:v>NordTrail GmbH</x:v>
      </x:c>
      <x:c r="C5" s="26" t="str">
        <x:v>德国</x:v>
      </x:c>
      <x:c r="D5" s="26" t="str">
        <x:v>欧洲</x:v>
      </x:c>
      <x:c r="E5" s="26" t="str">
        <x:v>EUR</x:v>
      </x:c>
      <x:c r="G5" s="26" t="str">
        <x:v>TEN-210</x:v>
      </x:c>
      <x:c r="H5" s="26" t="str">
        <x:v>双人轻量帐篷</x:v>
      </x:c>
      <x:c r="I5" s="26" t="str">
        <x:v>帐篷</x:v>
      </x:c>
      <x:c r="J5" s="26" t="n">
        <x:v>58</x:v>
      </x:c>
      <x:c r="K5" s="26" t="n">
        <x:v>32</x:v>
      </x:c>
      <x:c r="L5" s="26" t="str">
        <x:v>630622</x:v>
      </x:c>
      <x:c r="N5" s="26" t="str">
        <x:v>无异常</x:v>
      </x:c>
      <x:c r="O5" s="26" t="str">
        <x:v>无异常</x:v>
      </x:c>
      <x:c r="P5" s="26" t="str">
        <x:v>-</x:v>
      </x:c>
      <x:c r="Q5" s="26" t="str">
        <x:v>-</x:v>
      </x:c>
      <x:c r="R5" s="26" t="n">
        <x:v>0</x:v>
      </x:c>
      <x:c r="S5" s="26" t="str">
        <x:v>无需升级</x:v>
      </x:c>
    </x:row>
    <x:row r="6">
      <x:c r="A6" s="27" t="str">
        <x:v>C002</x:v>
      </x:c>
      <x:c r="B6" s="27" t="str">
        <x:v>Alpine Base SAS</x:v>
      </x:c>
      <x:c r="C6" s="27" t="str">
        <x:v>法国</x:v>
      </x:c>
      <x:c r="D6" s="27" t="str">
        <x:v>欧洲</x:v>
      </x:c>
      <x:c r="E6" s="27" t="str">
        <x:v>EUR</x:v>
      </x:c>
      <x:c r="G6" s="27" t="str">
        <x:v>TEN-410</x:v>
      </x:c>
      <x:c r="H6" s="27" t="str">
        <x:v>四人家庭帐篷</x:v>
      </x:c>
      <x:c r="I6" s="27" t="str">
        <x:v>帐篷</x:v>
      </x:c>
      <x:c r="J6" s="27" t="n">
        <x:v>96</x:v>
      </x:c>
      <x:c r="K6" s="27" t="n">
        <x:v>38</x:v>
      </x:c>
      <x:c r="L6" s="27" t="str">
        <x:v>630622</x:v>
      </x:c>
      <x:c r="N6" s="27" t="str">
        <x:v>原料延期</x:v>
      </x:c>
      <x:c r="O6" s="27" t="str">
        <x:v>生产与备货</x:v>
      </x:c>
      <x:c r="P6" s="27" t="str">
        <x:v>B级</x:v>
      </x:c>
      <x:c r="Q6" s="27" t="str">
        <x:v>供应链专员</x:v>
      </x:c>
      <x:c r="R6" s="27" t="n">
        <x:v>8</x:v>
      </x:c>
      <x:c r="S6" s="27" t="str">
        <x:v>当日汇报</x:v>
      </x:c>
    </x:row>
    <x:row r="7">
      <x:c r="A7" s="27" t="str">
        <x:v>C003</x:v>
      </x:c>
      <x:c r="B7" s="27" t="str">
        <x:v>CampVista BV</x:v>
      </x:c>
      <x:c r="C7" s="27" t="str">
        <x:v>荷兰</x:v>
      </x:c>
      <x:c r="D7" s="27" t="str">
        <x:v>欧洲</x:v>
      </x:c>
      <x:c r="E7" s="27" t="str">
        <x:v>EUR</x:v>
      </x:c>
      <x:c r="G7" s="27" t="str">
        <x:v>CHR-110</x:v>
      </x:c>
      <x:c r="H7" s="27" t="str">
        <x:v>铝合金折叠椅</x:v>
      </x:c>
      <x:c r="I7" s="27" t="str">
        <x:v>折叠家具</x:v>
      </x:c>
      <x:c r="J7" s="27" t="n">
        <x:v>23</x:v>
      </x:c>
      <x:c r="K7" s="27" t="n">
        <x:v>24</x:v>
      </x:c>
      <x:c r="L7" s="27" t="str">
        <x:v>940179</x:v>
      </x:c>
      <x:c r="N7" s="27" t="str">
        <x:v>品质返工</x:v>
      </x:c>
      <x:c r="O7" s="27" t="str">
        <x:v>生产与备货</x:v>
      </x:c>
      <x:c r="P7" s="27" t="str">
        <x:v>A级</x:v>
      </x:c>
      <x:c r="Q7" s="27" t="str">
        <x:v>品质主管</x:v>
      </x:c>
      <x:c r="R7" s="27" t="n">
        <x:v>2</x:v>
      </x:c>
      <x:c r="S7" s="27" t="str">
        <x:v>立即升级主管</x:v>
      </x:c>
    </x:row>
    <x:row r="8">
      <x:c r="A8" s="27" t="str">
        <x:v>C004</x:v>
      </x:c>
      <x:c r="B8" s="27" t="str">
        <x:v>WildPeak AB</x:v>
      </x:c>
      <x:c r="C8" s="27" t="str">
        <x:v>瑞典</x:v>
      </x:c>
      <x:c r="D8" s="27" t="str">
        <x:v>欧洲</x:v>
      </x:c>
      <x:c r="E8" s="27" t="str">
        <x:v>EUR</x:v>
      </x:c>
      <x:c r="G8" s="27" t="str">
        <x:v>TBL-220</x:v>
      </x:c>
      <x:c r="H8" s="27" t="str">
        <x:v>便携折叠桌</x:v>
      </x:c>
      <x:c r="I8" s="27" t="str">
        <x:v>折叠家具</x:v>
      </x:c>
      <x:c r="J8" s="27" t="n">
        <x:v>41</x:v>
      </x:c>
      <x:c r="K8" s="27" t="n">
        <x:v>27</x:v>
      </x:c>
      <x:c r="L8" s="27" t="str">
        <x:v>940320</x:v>
      </x:c>
      <x:c r="N8" s="27" t="str">
        <x:v>客户临时改单</x:v>
      </x:c>
      <x:c r="O8" s="27" t="str">
        <x:v>订单与商务</x:v>
      </x:c>
      <x:c r="P8" s="27" t="str">
        <x:v>B级</x:v>
      </x:c>
      <x:c r="Q8" s="27" t="str">
        <x:v>外贸跟单</x:v>
      </x:c>
      <x:c r="R8" s="27" t="n">
        <x:v>8</x:v>
      </x:c>
      <x:c r="S8" s="27" t="str">
        <x:v>当日汇报</x:v>
      </x:c>
    </x:row>
    <x:row r="9">
      <x:c r="A9" s="27" t="str">
        <x:v>C005</x:v>
      </x:c>
      <x:c r="B9" s="27" t="str">
        <x:v>Terra Outdoor SRL</x:v>
      </x:c>
      <x:c r="C9" s="27" t="str">
        <x:v>意大利</x:v>
      </x:c>
      <x:c r="D9" s="27" t="str">
        <x:v>欧洲</x:v>
      </x:c>
      <x:c r="E9" s="27" t="str">
        <x:v>EUR</x:v>
      </x:c>
      <x:c r="G9" s="27" t="str">
        <x:v>SLP-120</x:v>
      </x:c>
      <x:c r="H9" s="27" t="str">
        <x:v>三季木乃伊睡袋</x:v>
      </x:c>
      <x:c r="I9" s="27" t="str">
        <x:v>睡袋</x:v>
      </x:c>
      <x:c r="J9" s="27" t="n">
        <x:v>32</x:v>
      </x:c>
      <x:c r="K9" s="27" t="n">
        <x:v>29</x:v>
      </x:c>
      <x:c r="L9" s="27" t="str">
        <x:v>940430</x:v>
      </x:c>
      <x:c r="N9" s="27" t="str">
        <x:v>付款延迟</x:v>
      </x:c>
      <x:c r="O9" s="27" t="str">
        <x:v>订单与商务</x:v>
      </x:c>
      <x:c r="P9" s="27" t="str">
        <x:v>B级</x:v>
      </x:c>
      <x:c r="Q9" s="27" t="str">
        <x:v>销售经理</x:v>
      </x:c>
      <x:c r="R9" s="27" t="n">
        <x:v>8</x:v>
      </x:c>
      <x:c r="S9" s="27" t="str">
        <x:v>当日汇报</x:v>
      </x:c>
    </x:row>
    <x:row r="10">
      <x:c r="A10" s="27" t="str">
        <x:v>C006</x:v>
      </x:c>
      <x:c r="B10" s="27" t="str">
        <x:v>Iberia Trek SL</x:v>
      </x:c>
      <x:c r="C10" s="27" t="str">
        <x:v>西班牙</x:v>
      </x:c>
      <x:c r="D10" s="27" t="str">
        <x:v>欧洲</x:v>
      </x:c>
      <x:c r="E10" s="27" t="str">
        <x:v>EUR</x:v>
      </x:c>
      <x:c r="G10" s="27" t="str">
        <x:v>SLP-210</x:v>
      </x:c>
      <x:c r="H10" s="27" t="str">
        <x:v>双人保暖睡袋</x:v>
      </x:c>
      <x:c r="I10" s="27" t="str">
        <x:v>睡袋</x:v>
      </x:c>
      <x:c r="J10" s="27" t="n">
        <x:v>54</x:v>
      </x:c>
      <x:c r="K10" s="27" t="n">
        <x:v>33</x:v>
      </x:c>
      <x:c r="L10" s="27" t="str">
        <x:v>940430</x:v>
      </x:c>
      <x:c r="N10" s="27" t="str">
        <x:v>单证缺失</x:v>
      </x:c>
      <x:c r="O10" s="27" t="str">
        <x:v>单证</x:v>
      </x:c>
      <x:c r="P10" s="27" t="str">
        <x:v>A级</x:v>
      </x:c>
      <x:c r="Q10" s="27" t="str">
        <x:v>单证专员</x:v>
      </x:c>
      <x:c r="R10" s="27" t="n">
        <x:v>2</x:v>
      </x:c>
      <x:c r="S10" s="27" t="str">
        <x:v>立即升级主管</x:v>
      </x:c>
    </x:row>
    <x:row r="11">
      <x:c r="A11" s="27" t="str">
        <x:v>C007</x:v>
      </x:c>
      <x:c r="B11" s="27" t="str">
        <x:v>Summit Supply Inc.</x:v>
      </x:c>
      <x:c r="C11" s="27" t="str">
        <x:v>美国</x:v>
      </x:c>
      <x:c r="D11" s="27" t="str">
        <x:v>北美</x:v>
      </x:c>
      <x:c r="E11" s="27" t="str">
        <x:v>USD</x:v>
      </x:c>
      <x:c r="G11" s="27" t="str">
        <x:v>MAT-160</x:v>
      </x:c>
      <x:c r="H11" s="27" t="str">
        <x:v>防水野餐垫</x:v>
      </x:c>
      <x:c r="I11" s="27" t="str">
        <x:v>野餐垫</x:v>
      </x:c>
      <x:c r="J11" s="27" t="n">
        <x:v>14</x:v>
      </x:c>
      <x:c r="K11" s="27" t="n">
        <x:v>18</x:v>
      </x:c>
      <x:c r="L11" s="27" t="str">
        <x:v>630690</x:v>
      </x:c>
      <x:c r="N11" s="27" t="str">
        <x:v>舱位不足</x:v>
      </x:c>
      <x:c r="O11" s="27" t="str">
        <x:v>出运</x:v>
      </x:c>
      <x:c r="P11" s="27" t="str">
        <x:v>B级</x:v>
      </x:c>
      <x:c r="Q11" s="27" t="str">
        <x:v>物流操作</x:v>
      </x:c>
      <x:c r="R11" s="27" t="n">
        <x:v>8</x:v>
      </x:c>
      <x:c r="S11" s="27" t="str">
        <x:v>当日汇报</x:v>
      </x:c>
    </x:row>
    <x:row r="12">
      <x:c r="A12" s="27" t="str">
        <x:v>C008</x:v>
      </x:c>
      <x:c r="B12" s="27" t="str">
        <x:v>Camp Harbor LLC</x:v>
      </x:c>
      <x:c r="C12" s="27" t="str">
        <x:v>美国</x:v>
      </x:c>
      <x:c r="D12" s="27" t="str">
        <x:v>北美</x:v>
      </x:c>
      <x:c r="E12" s="27" t="str">
        <x:v>USD</x:v>
      </x:c>
      <x:c r="G12" s="27" t="str">
        <x:v>MAT-230</x:v>
      </x:c>
      <x:c r="H12" s="27" t="str">
        <x:v>自充气露营垫</x:v>
      </x:c>
      <x:c r="I12" s="27" t="str">
        <x:v>野餐垫</x:v>
      </x:c>
      <x:c r="J12" s="27" t="n">
        <x:v>38</x:v>
      </x:c>
      <x:c r="K12" s="27" t="n">
        <x:v>25</x:v>
      </x:c>
      <x:c r="L12" s="27" t="str">
        <x:v>630690</x:v>
      </x:c>
      <x:c r="N12" s="27" t="str">
        <x:v>甩柜/船期变更</x:v>
      </x:c>
      <x:c r="O12" s="27" t="str">
        <x:v>出运</x:v>
      </x:c>
      <x:c r="P12" s="27" t="str">
        <x:v>A级</x:v>
      </x:c>
      <x:c r="Q12" s="27" t="str">
        <x:v>物流主管</x:v>
      </x:c>
      <x:c r="R12" s="27" t="n">
        <x:v>2</x:v>
      </x:c>
      <x:c r="S12" s="27" t="str">
        <x:v>立即升级主管</x:v>
      </x:c>
    </x:row>
    <x:row r="13">
      <x:c r="A13" s="27" t="str">
        <x:v>C009</x:v>
      </x:c>
      <x:c r="B13" s="27" t="str">
        <x:v>NorthWood Retail</x:v>
      </x:c>
      <x:c r="C13" s="27" t="str">
        <x:v>加拿大</x:v>
      </x:c>
      <x:c r="D13" s="27" t="str">
        <x:v>北美</x:v>
      </x:c>
      <x:c r="E13" s="27" t="str">
        <x:v>USD</x:v>
      </x:c>
      <x:c r="G13" s="27" t="str">
        <x:v>LGT-100</x:v>
      </x:c>
      <x:c r="H13" s="27" t="str">
        <x:v>USB充电露营灯</x:v>
      </x:c>
      <x:c r="I13" s="27" t="str">
        <x:v>露营照明</x:v>
      </x:c>
      <x:c r="J13" s="27" t="n">
        <x:v>18</x:v>
      </x:c>
      <x:c r="K13" s="27" t="n">
        <x:v>22</x:v>
      </x:c>
      <x:c r="L13" s="27" t="str">
        <x:v>851310</x:v>
      </x:c>
      <x:c r="N13" s="27" t="str">
        <x:v>报关查验</x:v>
      </x:c>
      <x:c r="O13" s="27" t="str">
        <x:v>出运</x:v>
      </x:c>
      <x:c r="P13" s="27" t="str">
        <x:v>B级</x:v>
      </x:c>
      <x:c r="Q13" s="27" t="str">
        <x:v>报关协调员</x:v>
      </x:c>
      <x:c r="R13" s="27" t="n">
        <x:v>8</x:v>
      </x:c>
      <x:c r="S13" s="27" t="str">
        <x:v>当日汇报</x:v>
      </x:c>
    </x:row>
    <x:row r="14">
      <x:c r="A14" s="27" t="str">
        <x:v>C010</x:v>
      </x:c>
      <x:c r="B14" s="27" t="str">
        <x:v>TrailWorks Co.</x:v>
      </x:c>
      <x:c r="C14" s="27" t="str">
        <x:v>美国</x:v>
      </x:c>
      <x:c r="D14" s="27" t="str">
        <x:v>北美</x:v>
      </x:c>
      <x:c r="E14" s="27" t="str">
        <x:v>USD</x:v>
      </x:c>
      <x:c r="G14" s="27" t="str">
        <x:v>LGT-240</x:v>
      </x:c>
      <x:c r="H14" s="27" t="str">
        <x:v>太阳能营地灯串</x:v>
      </x:c>
      <x:c r="I14" s="27" t="str">
        <x:v>露营照明</x:v>
      </x:c>
      <x:c r="J14" s="27" t="n">
        <x:v>26</x:v>
      </x:c>
      <x:c r="K14" s="27" t="n">
        <x:v>25</x:v>
      </x:c>
      <x:c r="L14" s="27" t="str">
        <x:v>940542</x:v>
      </x:c>
      <x:c r="N14" s="27" t="str">
        <x:v>物流轨迹停滞</x:v>
      </x:c>
      <x:c r="O14" s="27" t="str">
        <x:v>在途物流</x:v>
      </x:c>
      <x:c r="P14" s="27" t="str">
        <x:v>B级</x:v>
      </x:c>
      <x:c r="Q14" s="27" t="str">
        <x:v>物流操作</x:v>
      </x:c>
      <x:c r="R14" s="27" t="n">
        <x:v>8</x:v>
      </x:c>
      <x:c r="S14" s="27" t="str">
        <x:v>当日汇报</x:v>
      </x:c>
    </x:row>
    <x:row r="15">
      <x:c r="A15" s="27" t="str">
        <x:v>C011</x:v>
      </x:c>
      <x:c r="B15" s="27" t="str">
        <x:v>Maple Camp Ltd.</x:v>
      </x:c>
      <x:c r="C15" s="27" t="str">
        <x:v>加拿大</x:v>
      </x:c>
      <x:c r="D15" s="27" t="str">
        <x:v>北美</x:v>
      </x:c>
      <x:c r="E15" s="27" t="str">
        <x:v>USD</x:v>
      </x:c>
      <x:c r="G15" s="27" t="str">
        <x:v>CKT-150</x:v>
      </x:c>
      <x:c r="H15" s="27" t="str">
        <x:v>不锈钢炊具套装</x:v>
      </x:c>
      <x:c r="I15" s="27" t="str">
        <x:v>户外炊具</x:v>
      </x:c>
      <x:c r="J15" s="27" t="n">
        <x:v>29</x:v>
      </x:c>
      <x:c r="K15" s="27" t="n">
        <x:v>26</x:v>
      </x:c>
      <x:c r="L15" s="27" t="str">
        <x:v>732393</x:v>
      </x:c>
      <x:c r="N15" s="27" t="str">
        <x:v>港口拥堵</x:v>
      </x:c>
      <x:c r="O15" s="27" t="str">
        <x:v>在途物流</x:v>
      </x:c>
      <x:c r="P15" s="27" t="str">
        <x:v>B级</x:v>
      </x:c>
      <x:c r="Q15" s="27" t="str">
        <x:v>物流主管</x:v>
      </x:c>
      <x:c r="R15" s="27" t="n">
        <x:v>8</x:v>
      </x:c>
      <x:c r="S15" s="27" t="str">
        <x:v>当日汇报</x:v>
      </x:c>
    </x:row>
    <x:row r="16">
      <x:c r="A16" s="27" t="str">
        <x:v>C012</x:v>
      </x:c>
      <x:c r="B16" s="27" t="str">
        <x:v>Outback Living Pty</x:v>
      </x:c>
      <x:c r="C16" s="27" t="str">
        <x:v>澳大利亚</x:v>
      </x:c>
      <x:c r="D16" s="27" t="str">
        <x:v>澳洲</x:v>
      </x:c>
      <x:c r="E16" s="27" t="str">
        <x:v>USD</x:v>
      </x:c>
      <x:c r="G16" s="28" t="str">
        <x:v>STV-260</x:v>
      </x:c>
      <x:c r="H16" s="28" t="str">
        <x:v>便携卡式炉</x:v>
      </x:c>
      <x:c r="I16" s="28" t="str">
        <x:v>户外炊具</x:v>
      </x:c>
      <x:c r="J16" s="28" t="n">
        <x:v>35</x:v>
      </x:c>
      <x:c r="K16" s="28" t="n">
        <x:v>30</x:v>
      </x:c>
      <x:c r="L16" s="28" t="str">
        <x:v>732111</x:v>
      </x:c>
      <x:c r="N16" s="27" t="str">
        <x:v>清关异常</x:v>
      </x:c>
      <x:c r="O16" s="27" t="str">
        <x:v>目的国与签收</x:v>
      </x:c>
      <x:c r="P16" s="27" t="str">
        <x:v>A级</x:v>
      </x:c>
      <x:c r="Q16" s="27" t="str">
        <x:v>外贸跟单</x:v>
      </x:c>
      <x:c r="R16" s="27" t="n">
        <x:v>2</x:v>
      </x:c>
      <x:c r="S16" s="27" t="str">
        <x:v>立即升级主管</x:v>
      </x:c>
    </x:row>
    <x:row r="17">
      <x:c r="A17" s="27" t="str">
        <x:v>C013</x:v>
      </x:c>
      <x:c r="B17" s="27" t="str">
        <x:v>Coast &amp; Camp Pty</x:v>
      </x:c>
      <x:c r="C17" s="27" t="str">
        <x:v>澳大利亚</x:v>
      </x:c>
      <x:c r="D17" s="27" t="str">
        <x:v>澳洲</x:v>
      </x:c>
      <x:c r="E17" s="27" t="str">
        <x:v>USD</x:v>
      </x:c>
      <x:c r="N17" s="27" t="str">
        <x:v>派送失败</x:v>
      </x:c>
      <x:c r="O17" s="27" t="str">
        <x:v>目的国与签收</x:v>
      </x:c>
      <x:c r="P17" s="27" t="str">
        <x:v>B级</x:v>
      </x:c>
      <x:c r="Q17" s="27" t="str">
        <x:v>物流操作</x:v>
      </x:c>
      <x:c r="R17" s="27" t="n">
        <x:v>8</x:v>
      </x:c>
      <x:c r="S17" s="27" t="str">
        <x:v>当日汇报</x:v>
      </x:c>
    </x:row>
    <x:row r="18">
      <x:c r="A18" s="27" t="str">
        <x:v>C014</x:v>
      </x:c>
      <x:c r="B18" s="27" t="str">
        <x:v>Kiwi Trek Ltd.</x:v>
      </x:c>
      <x:c r="C18" s="27" t="str">
        <x:v>新西兰</x:v>
      </x:c>
      <x:c r="D18" s="27" t="str">
        <x:v>澳洲</x:v>
      </x:c>
      <x:c r="E18" s="27" t="str">
        <x:v>USD</x:v>
      </x:c>
      <x:c r="N18" s="27" t="str">
        <x:v>包装破损</x:v>
      </x:c>
      <x:c r="O18" s="27" t="str">
        <x:v>生产与备货</x:v>
      </x:c>
      <x:c r="P18" s="27" t="str">
        <x:v>A级</x:v>
      </x:c>
      <x:c r="Q18" s="27" t="str">
        <x:v>品质主管</x:v>
      </x:c>
      <x:c r="R18" s="27" t="n">
        <x:v>2</x:v>
      </x:c>
      <x:c r="S18" s="27" t="str">
        <x:v>立即升级主管</x:v>
      </x:c>
    </x:row>
    <x:row r="19">
      <x:c r="A19" s="27" t="str">
        <x:v>C015</x:v>
      </x:c>
      <x:c r="B19" s="27" t="str">
        <x:v>Desert Moon Trading</x:v>
      </x:c>
      <x:c r="C19" s="27" t="str">
        <x:v>阿联酋</x:v>
      </x:c>
      <x:c r="D19" s="27" t="str">
        <x:v>中东</x:v>
      </x:c>
      <x:c r="E19" s="27" t="str">
        <x:v>USD</x:v>
      </x:c>
      <x:c r="N19" s="28" t="str">
        <x:v>数量短装</x:v>
      </x:c>
      <x:c r="O19" s="28" t="str">
        <x:v>生产与备货</x:v>
      </x:c>
      <x:c r="P19" s="28" t="str">
        <x:v>B级</x:v>
      </x:c>
      <x:c r="Q19" s="28" t="str">
        <x:v>仓储主管</x:v>
      </x:c>
      <x:c r="R19" s="28" t="n">
        <x:v>8</x:v>
      </x:c>
      <x:c r="S19" s="28" t="str">
        <x:v>当日汇报</x:v>
      </x:c>
    </x:row>
    <x:row r="20">
      <x:c r="A20" s="27" t="str">
        <x:v>C016</x:v>
      </x:c>
      <x:c r="B20" s="27" t="str">
        <x:v>Sakura Field Co.</x:v>
      </x:c>
      <x:c r="C20" s="27" t="str">
        <x:v>日本</x:v>
      </x:c>
      <x:c r="D20" s="27" t="str">
        <x:v>亚洲</x:v>
      </x:c>
      <x:c r="E20" s="27" t="str">
        <x:v>USD</x:v>
      </x:c>
    </x:row>
    <x:row r="21">
      <x:c r="A21" s="27" t="str">
        <x:v>C017</x:v>
      </x:c>
      <x:c r="B21" s="27" t="str">
        <x:v>HanRiver Outdoor</x:v>
      </x:c>
      <x:c r="C21" s="27" t="str">
        <x:v>韩国</x:v>
      </x:c>
      <x:c r="D21" s="27" t="str">
        <x:v>亚洲</x:v>
      </x:c>
      <x:c r="E21" s="27" t="str">
        <x:v>USD</x:v>
      </x:c>
    </x:row>
    <x:row r="22">
      <x:c r="A22" s="28" t="str">
        <x:v>C018</x:v>
      </x:c>
      <x:c r="B22" s="28" t="str">
        <x:v>Lion City Gear</x:v>
      </x:c>
      <x:c r="C22" s="28" t="str">
        <x:v>新加坡</x:v>
      </x:c>
      <x:c r="D22" s="28" t="str">
        <x:v>亚洲</x:v>
      </x:c>
      <x:c r="E22" s="28" t="str">
        <x:v>USD</x:v>
      </x:c>
    </x:row>
  </x:sheetData>
  <x:mergeCells>
    <x:mergeCell ref="A1:S1"/>
    <x:mergeCell ref="A2:S2"/>
  </x:mergeCells>
  <x:pageMargins left="0.7" right="0.7" top="0.75" bottom="0.75" header="0.3" footer="0.3"/>
  <x:tableParts count="3">
    <x:tablePart xmlns:r="http://schemas.openxmlformats.org/officeDocument/2006/relationships" r:id="R15781c67d85a440e"/>
    <x:tablePart xmlns:r="http://schemas.openxmlformats.org/officeDocument/2006/relationships" r:id="Rebd0f30b9ede49cf"/>
    <x:tablePart xmlns:r="http://schemas.openxmlformats.org/officeDocument/2006/relationships" r:id="R9eb2c533a36c4e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20" hidden="0" customWidth="1"/>
    <x:col min="9" max="9" width="13" hidden="0" customWidth="1"/>
    <x:col min="10" max="10" width="18" hidden="0" customWidth="1"/>
    <x:col min="11" max="11" width="13" hidden="0" customWidth="1"/>
    <x:col min="12" max="12" width="13" hidden="0" customWidth="1"/>
  </x:cols>
  <x:sheetData>
    <x:row r="1" ht="34" customHeight="1">
      <x:c r="A1" s="4" t="str">
        <x:v>跨境订单履约与异常看板</x:v>
      </x:c>
    </x:row>
    <x:row r="2" ht="32" customHeight="1">
      <x:c r="A2" s="7" t="str">
        <x:v>数据截止：2026-06-23｜模拟企业：HorizonCamp户外用品出口有限公司</x:v>
      </x:c>
      <x:c r="B2" s="7" t="str">
        <x:v>数据截止：2026-06-23｜模拟企业：HorizonCamp户外用品出口有限公司</x:v>
      </x:c>
      <x:c r="C2" s="7" t="str">
        <x:v>数据截止：2026-06-23｜模拟企业：HorizonCamp户外用品出口有限公司</x:v>
      </x:c>
      <x:c r="D2" s="7" t="str">
        <x:v>数据截止：2026-06-23｜模拟企业：HorizonCamp户外用品出口有限公司</x:v>
      </x:c>
      <x:c r="E2" s="7" t="str">
        <x:v>数据截止：2026-06-23｜模拟企业：HorizonCamp户外用品出口有限公司</x:v>
      </x:c>
      <x:c r="F2" s="7" t="str">
        <x:v>数据截止：2026-06-23｜模拟企业：HorizonCamp户外用品出口有限公司</x:v>
      </x:c>
      <x:c r="G2" s="7" t="str">
        <x:v>数据截止：2026-06-23｜模拟企业：HorizonCamp户外用品出口有限公司</x:v>
      </x:c>
      <x:c r="H2" s="7" t="str">
        <x:v>数据截止：2026-06-23｜模拟企业：HorizonCamp户外用品出口有限公司</x:v>
      </x:c>
      <x:c r="I2" s="7" t="str">
        <x:v>数据截止：2026-06-23｜模拟企业：HorizonCamp户外用品出口有限公司</x:v>
      </x:c>
      <x:c r="J2" s="7" t="str">
        <x:v>数据截止：2026-06-23｜模拟企业：HorizonCamp户外用品出口有限公司</x:v>
      </x:c>
      <x:c r="K2" s="7" t="str">
        <x:v>数据截止：2026-06-23｜模拟企业：HorizonCamp户外用品出口有限公司</x:v>
      </x:c>
      <x:c r="L2" s="7" t="str">
        <x:v>数据截止：2026-06-23｜模拟企业：HorizonCamp户外用品出口有限公司</x:v>
      </x:c>
      <x:c r="N2" s="19" t="str">
        <x:v>运输方式</x:v>
      </x:c>
      <x:c r="O2" s="21" t="str">
        <x:v>订单数</x:v>
      </x:c>
      <x:c r="Q2" s="19" t="str">
        <x:v>区域</x:v>
      </x:c>
      <x:c r="R2" s="21" t="str">
        <x:v>订单数</x:v>
      </x:c>
    </x:row>
    <x:row r="3">
      <x:c r="N3" s="26" t="str">
        <x:v>海运</x:v>
      </x:c>
      <x:c r="O3" s="26" t="n">
        <x:f>COUNTIF('订单主数据'!$O$6:$O$101,N3)</x:f>
        <x:v>55</x:v>
      </x:c>
      <x:c r="Q3" s="26" t="str">
        <x:v>欧洲</x:v>
      </x:c>
      <x:c r="R3" s="26" t="n">
        <x:f>COUNTIF('订单主数据'!$F$6:$F$101,Q3)</x:f>
        <x:v>33</x:v>
      </x:c>
    </x:row>
    <x:row r="4">
      <x:c r="A4" s="117" t="str">
        <x:v>订单总数</x:v>
      </x:c>
      <x:c r="B4" s="117"/>
      <x:c r="C4" s="117"/>
      <x:c r="D4" s="117" t="str">
        <x:v>准时签收率</x:v>
      </x:c>
      <x:c r="E4" s="117"/>
      <x:c r="F4" s="117"/>
      <x:c r="G4" s="126" t="str">
        <x:v>未关闭异常</x:v>
      </x:c>
      <x:c r="H4" s="126"/>
      <x:c r="I4" s="126"/>
      <x:c r="J4" s="117" t="str">
        <x:v>平均单证完整度</x:v>
      </x:c>
      <x:c r="K4" s="117"/>
      <x:c r="L4" s="117"/>
      <x:c r="N4" s="27" t="str">
        <x:v>空运</x:v>
      </x:c>
      <x:c r="O4" s="27" t="n">
        <x:f>COUNTIF('订单主数据'!$O$6:$O$101,N4)</x:f>
        <x:v>13</x:v>
      </x:c>
      <x:c r="Q4" s="27" t="str">
        <x:v>北美</x:v>
      </x:c>
      <x:c r="R4" s="27" t="n">
        <x:f>COUNTIF('订单主数据'!$F$6:$F$101,Q4)</x:f>
        <x:v>26</x:v>
      </x:c>
    </x:row>
    <x:row r="5">
      <x:c r="A5" s="121" t="n">
        <x:f>COUNTA('订单主数据'!$A$6:$A$101)</x:f>
        <x:v>96</x:v>
      </x:c>
      <x:c r="D5" s="122" t="n">
        <x:f>COUNTIF('订单主数据'!$AQ$6:$AQ$101,"是")/(COUNTIF('订单主数据'!$AQ$6:$AQ$101,"是")+COUNTIF('订单主数据'!$AQ$6:$AQ$101,"否"))</x:f>
        <x:v>0.8970588235294118</x:v>
      </x:c>
      <x:c r="G5" s="130" t="n">
        <x:f>COUNTIFS('订单主数据'!$AI$6:$AI$101,"&lt;&gt;无异常",'订单主数据'!$AN$6:$AN$101,"&lt;&gt;已关闭")</x:f>
        <x:v>6</x:v>
      </x:c>
      <x:c r="J5" s="122" t="n">
        <x:f>AVERAGE('订单主数据'!$AF$6:$AF$101)</x:f>
        <x:v>0.9729166666666665</x:v>
      </x:c>
      <x:c r="N5" s="27" t="str">
        <x:v>国际快递</x:v>
      </x:c>
      <x:c r="O5" s="27" t="n">
        <x:f>COUNTIF('订单主数据'!$O$6:$O$101,N5)</x:f>
        <x:v>28</x:v>
      </x:c>
      <x:c r="Q5" s="27" t="str">
        <x:v>澳洲</x:v>
      </x:c>
      <x:c r="R5" s="27" t="n">
        <x:f>COUNTIF('订单主数据'!$F$6:$F$101,Q5)</x:f>
        <x:v>20</x:v>
      </x:c>
    </x:row>
    <x:row r="6">
      <x:c r="N6" s="27" t="str"/>
      <x:c r="O6" s="27"/>
      <x:c r="Q6" s="27" t="str">
        <x:v>亚洲</x:v>
      </x:c>
      <x:c r="R6" s="27" t="n">
        <x:f>COUNTIF('订单主数据'!$F$6:$F$101,Q6)</x:f>
        <x:v>13</x:v>
      </x:c>
    </x:row>
    <x:row r="7" ht="32" customHeight="1">
      <x:c r="N7" s="133" t="str">
        <x:v>异常大类</x:v>
      </x:c>
      <x:c r="O7" s="134" t="str">
        <x:v>未关闭数</x:v>
      </x:c>
      <x:c r="Q7" s="28" t="str">
        <x:v>中东</x:v>
      </x:c>
      <x:c r="R7" s="28" t="n">
        <x:f>COUNTIF('订单主数据'!$F$6:$F$101,Q7)</x:f>
        <x:v>4</x:v>
      </x:c>
    </x:row>
    <x:row r="8">
      <x:c r="N8" s="27" t="str">
        <x:v>生产与备货</x:v>
      </x:c>
      <x:c r="O8" s="27" t="n">
        <x:f>COUNTIFS('订单主数据'!$AR$6:$AR$101,N8,'订单主数据'!$AN$6:$AN$101,"&lt;&gt;已关闭")</x:f>
        <x:v>2</x:v>
      </x:c>
      <x:c r="Q8" t="str"/>
      <x:c r="R8"/>
    </x:row>
    <x:row r="9">
      <x:c r="N9" s="27" t="str">
        <x:v>订单与商务</x:v>
      </x:c>
      <x:c r="O9" s="27" t="n">
        <x:f>COUNTIFS('订单主数据'!$AR$6:$AR$101,N9,'订单主数据'!$AN$6:$AN$101,"&lt;&gt;已关闭")</x:f>
        <x:v>0</x:v>
      </x:c>
    </x:row>
    <x:row r="10">
      <x:c r="N10" s="27" t="str">
        <x:v>单证</x:v>
      </x:c>
      <x:c r="O10" s="27" t="n">
        <x:f>COUNTIFS('订单主数据'!$AR$6:$AR$101,N10,'订单主数据'!$AN$6:$AN$101,"&lt;&gt;已关闭")</x:f>
        <x:v>1</x:v>
      </x:c>
    </x:row>
    <x:row r="11">
      <x:c r="N11" s="27" t="str">
        <x:v>出运</x:v>
      </x:c>
      <x:c r="O11" s="27" t="n">
        <x:f>COUNTIFS('订单主数据'!$AR$6:$AR$101,N11,'订单主数据'!$AN$6:$AN$101,"&lt;&gt;已关闭")</x:f>
        <x:v>2</x:v>
      </x:c>
    </x:row>
    <x:row r="12">
      <x:c r="N12" s="27" t="str">
        <x:v>在途物流</x:v>
      </x:c>
      <x:c r="O12" s="27" t="n">
        <x:f>COUNTIFS('订单主数据'!$AR$6:$AR$101,N12,'订单主数据'!$AN$6:$AN$101,"&lt;&gt;已关闭")</x:f>
        <x:v>1</x:v>
      </x:c>
    </x:row>
    <x:row r="13">
      <x:c r="N13" s="28" t="str">
        <x:v>目的国与签收</x:v>
      </x:c>
      <x:c r="O13" s="28" t="n">
        <x:f>COUNTIFS('订单主数据'!$AR$6:$AR$101,N13,'订单主数据'!$AN$6:$AN$101,"&lt;&gt;已关闭")</x:f>
        <x:v>0</x:v>
      </x:c>
    </x:row>
    <x:row r="25" ht="32" customHeight="1">
      <x:c r="G25" s="145" t="str">
        <x:v>当前优先处理订单</x:v>
      </x:c>
      <x:c r="H25" s="146"/>
      <x:c r="I25" s="146"/>
      <x:c r="J25" s="146"/>
      <x:c r="K25" s="146"/>
      <x:c r="L25" s="147"/>
    </x:row>
    <x:row r="26" ht="32" customHeight="1">
      <x:c r="G26" s="19" t="str">
        <x:v>订单编号</x:v>
      </x:c>
      <x:c r="H26" s="20" t="str">
        <x:v>客户</x:v>
      </x:c>
      <x:c r="I26" s="20" t="str">
        <x:v>计划出库</x:v>
      </x:c>
      <x:c r="J26" s="20" t="str">
        <x:v>预警/异常</x:v>
      </x:c>
      <x:c r="K26" s="20" t="str">
        <x:v>责任人</x:v>
      </x:c>
      <x:c r="L26" s="21" t="str">
        <x:v>处理状态</x:v>
      </x:c>
    </x:row>
    <x:row r="27">
      <x:c r="G27" s="26" t="str">
        <x:f>'订单主数据'!A75</x:f>
        <x:v>PO-26-070</x:v>
      </x:c>
      <x:c r="H27" s="26" t="str">
        <x:f>'订单主数据'!D75</x:f>
        <x:v>Summit Supply Inc.</x:v>
      </x:c>
      <x:c r="I27" s="32" t="n">
        <x:f>'订单主数据'!T75</x:f>
        <x:v>46178</x:v>
      </x:c>
      <x:c r="J27" s="26" t="str">
        <x:f>'订单主数据'!AI75</x:f>
        <x:v>原料延期</x:v>
      </x:c>
      <x:c r="K27" s="26" t="str">
        <x:f>'订单主数据'!AK75</x:f>
        <x:v>供应链专员</x:v>
      </x:c>
      <x:c r="L27" s="26" t="str">
        <x:f>'订单主数据'!AN75</x:f>
        <x:v>处理中</x:v>
      </x:c>
    </x:row>
    <x:row r="28">
      <x:c r="G28" s="27" t="str">
        <x:f>'订单主数据'!A80</x:f>
        <x:v>PO-26-075</x:v>
      </x:c>
      <x:c r="H28" s="27" t="str">
        <x:f>'订单主数据'!D80</x:f>
        <x:v>Outback Living Pty</x:v>
      </x:c>
      <x:c r="I28" s="33" t="n">
        <x:f>'订单主数据'!T80</x:f>
        <x:v>46187</x:v>
      </x:c>
      <x:c r="J28" s="27" t="str">
        <x:f>'订单主数据'!AI80</x:f>
        <x:v>品质返工</x:v>
      </x:c>
      <x:c r="K28" s="27" t="str">
        <x:f>'订单主数据'!AK80</x:f>
        <x:v>品质主管</x:v>
      </x:c>
      <x:c r="L28" s="27" t="str">
        <x:f>'订单主数据'!AN80</x:f>
        <x:v>待处理</x:v>
      </x:c>
    </x:row>
    <x:row r="29">
      <x:c r="G29" s="27" t="str">
        <x:f>'订单主数据'!A85</x:f>
        <x:v>PO-26-080</x:v>
      </x:c>
      <x:c r="H29" s="27" t="str">
        <x:f>'订单主数据'!D85</x:f>
        <x:v>NordTrail GmbH</x:v>
      </x:c>
      <x:c r="I29" s="33" t="n">
        <x:f>'订单主数据'!T85</x:f>
        <x:v>46205</x:v>
      </x:c>
      <x:c r="J29" s="27" t="str">
        <x:f>'订单主数据'!AI85</x:f>
        <x:v>舱位不足</x:v>
      </x:c>
      <x:c r="K29" s="27" t="str">
        <x:f>'订单主数据'!AK85</x:f>
        <x:v>物流操作</x:v>
      </x:c>
      <x:c r="L29" s="27" t="str">
        <x:f>'订单主数据'!AN85</x:f>
        <x:v>处理中</x:v>
      </x:c>
    </x:row>
    <x:row r="30">
      <x:c r="G30" s="27" t="str">
        <x:f>'订单主数据'!A90</x:f>
        <x:v>PO-26-085</x:v>
      </x:c>
      <x:c r="H30" s="27" t="str">
        <x:f>'订单主数据'!D90</x:f>
        <x:v>NorthWood Retail</x:v>
      </x:c>
      <x:c r="I30" s="33" t="n">
        <x:f>'订单主数据'!T90</x:f>
        <x:v>46203</x:v>
      </x:c>
      <x:c r="J30" s="27" t="str">
        <x:f>'订单主数据'!AI90</x:f>
        <x:v>单证缺失</x:v>
      </x:c>
      <x:c r="K30" s="27" t="str">
        <x:f>'订单主数据'!AK90</x:f>
        <x:v>单证专员</x:v>
      </x:c>
      <x:c r="L30" s="27" t="str">
        <x:f>'订单主数据'!AN90</x:f>
        <x:v>待处理</x:v>
      </x:c>
    </x:row>
    <x:row r="31">
      <x:c r="G31" s="27" t="str">
        <x:f>'订单主数据'!A95</x:f>
        <x:v>PO-26-090</x:v>
      </x:c>
      <x:c r="H31" s="27" t="str">
        <x:f>'订单主数据'!D95</x:f>
        <x:v>Lion City Gear</x:v>
      </x:c>
      <x:c r="I31" s="33" t="n">
        <x:f>'订单主数据'!T95</x:f>
        <x:v>46214</x:v>
      </x:c>
      <x:c r="J31" s="27" t="str">
        <x:f>'订单主数据'!AI95</x:f>
        <x:v>甩柜/船期变更</x:v>
      </x:c>
      <x:c r="K31" s="27" t="str">
        <x:f>'订单主数据'!AK95</x:f>
        <x:v>物流主管</x:v>
      </x:c>
      <x:c r="L31" s="27" t="str">
        <x:f>'订单主数据'!AN95</x:f>
        <x:v>处理中</x:v>
      </x:c>
    </x:row>
    <x:row r="32">
      <x:c r="G32" s="28" t="str">
        <x:f>'订单主数据'!A99</x:f>
        <x:v>PO-26-094</x:v>
      </x:c>
      <x:c r="H32" s="28" t="str">
        <x:f>'订单主数据'!D99</x:f>
        <x:v>NordTrail GmbH</x:v>
      </x:c>
      <x:c r="I32" s="34" t="n">
        <x:f>'订单主数据'!T99</x:f>
        <x:v>46220</x:v>
      </x:c>
      <x:c r="J32" s="28" t="str">
        <x:f>'订单主数据'!AI99</x:f>
        <x:v>物流轨迹停滞</x:v>
      </x:c>
      <x:c r="K32" s="28" t="str">
        <x:f>'订单主数据'!AK99</x:f>
        <x:v>物流操作</x:v>
      </x:c>
      <x:c r="L32" s="28" t="str">
        <x:f>'订单主数据'!AN99</x:f>
        <x:v>处理中</x:v>
      </x:c>
    </x:row>
  </x:sheetData>
  <x:mergeCells>
    <x:mergeCell ref="A1:L1"/>
    <x:mergeCell ref="A2:L2"/>
    <x:mergeCell ref="A4:C4"/>
    <x:mergeCell ref="A5:C7"/>
    <x:mergeCell ref="D4:F4"/>
    <x:mergeCell ref="D5:F7"/>
    <x:mergeCell ref="G4:I4"/>
    <x:mergeCell ref="G5:I7"/>
    <x:mergeCell ref="J4:L4"/>
    <x:mergeCell ref="J5:L7"/>
    <x:mergeCell ref="G25:L25"/>
  </x:mergeCells>
  <x:conditionalFormatting sqref="J27:J32">
    <x:cfRule type="containsText" dxfId="7" priority="1" operator="containsText" text="品质返工"/>
  </x:conditionalFormatting>
  <x:pageMargins left="0.7" right="0.7" top="0.75" bottom="0.75" header="0.3" footer="0.3"/>
  <x:drawing xmlns:r="http://schemas.openxmlformats.org/officeDocument/2006/relationships" r:id="R3c28e35d7b58482f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4" hidden="0" customWidth="1"/>
    <x:col min="6" max="6" width="18" hidden="0" customWidth="1"/>
    <x:col min="7" max="7" width="13" hidden="0" customWidth="1"/>
    <x:col min="8" max="8" width="13" hidden="0" customWidth="1"/>
    <x:col min="10" max="10" width="24" hidden="0" customWidth="1"/>
    <x:col min="11" max="11" width="12" hidden="0" customWidth="1"/>
    <x:col min="12" max="12" width="12" hidden="0" customWidth="1"/>
    <x:col min="13" max="13" width="15" hidden="0" customWidth="1"/>
  </x:cols>
  <x:sheetData>
    <x:row r="1" ht="34" customHeight="1">
      <x:c r="A1" s="4" t="str">
        <x:v>数据透视分析</x:v>
      </x:c>
    </x:row>
    <x:row r="2" ht="22" customHeight="1">
      <x:c r="A2" s="7" t="str">
        <x:v>以区域、运输方式、异常大类、物流商和月份为维度，辅助跟单人员识别结构性风险</x:v>
      </x:c>
      <x:c r="B2" s="7" t="str">
        <x:v>以区域、运输方式、异常大类、物流商和月份为维度，辅助跟单人员识别结构性风险</x:v>
      </x:c>
      <x:c r="C2" s="7" t="str">
        <x:v>以区域、运输方式、异常大类、物流商和月份为维度，辅助跟单人员识别结构性风险</x:v>
      </x:c>
      <x:c r="D2" s="7" t="str">
        <x:v>以区域、运输方式、异常大类、物流商和月份为维度，辅助跟单人员识别结构性风险</x:v>
      </x:c>
      <x:c r="E2" s="7" t="str">
        <x:v>以区域、运输方式、异常大类、物流商和月份为维度，辅助跟单人员识别结构性风险</x:v>
      </x:c>
      <x:c r="F2" s="7" t="str">
        <x:v>以区域、运输方式、异常大类、物流商和月份为维度，辅助跟单人员识别结构性风险</x:v>
      </x:c>
      <x:c r="G2" s="7" t="str">
        <x:v>以区域、运输方式、异常大类、物流商和月份为维度，辅助跟单人员识别结构性风险</x:v>
      </x:c>
      <x:c r="H2" s="7" t="str">
        <x:v>以区域、运输方式、异常大类、物流商和月份为维度，辅助跟单人员识别结构性风险</x:v>
      </x:c>
      <x:c r="I2" s="7" t="str">
        <x:v>以区域、运输方式、异常大类、物流商和月份为维度，辅助跟单人员识别结构性风险</x:v>
      </x:c>
      <x:c r="J2" s="7" t="str">
        <x:v>以区域、运输方式、异常大类、物流商和月份为维度，辅助跟单人员识别结构性风险</x:v>
      </x:c>
      <x:c r="K2" s="7" t="str">
        <x:v>以区域、运输方式、异常大类、物流商和月份为维度，辅助跟单人员识别结构性风险</x:v>
      </x:c>
      <x:c r="L2" s="7" t="str">
        <x:v>以区域、运输方式、异常大类、物流商和月份为维度，辅助跟单人员识别结构性风险</x:v>
      </x:c>
      <x:c r="M2" s="7" t="str">
        <x:v>以区域、运输方式、异常大类、物流商和月份为维度，辅助跟单人员识别结构性风险</x:v>
      </x:c>
      <x:c r="N2" s="7" t="str">
        <x:v>以区域、运输方式、异常大类、物流商和月份为维度，辅助跟单人员识别结构性风险</x:v>
      </x:c>
    </x:row>
    <x:row r="4" ht="32" customHeight="1">
      <x:c r="A4" s="19" t="str">
        <x:v>区域</x:v>
      </x:c>
      <x:c r="B4" s="20" t="str">
        <x:v>海运</x:v>
      </x:c>
      <x:c r="C4" s="20" t="str">
        <x:v>空运</x:v>
      </x:c>
      <x:c r="D4" s="21" t="str">
        <x:v>国际快递</x:v>
      </x:c>
      <x:c r="F4" s="145" t="str">
        <x:v>异常大类</x:v>
      </x:c>
      <x:c r="G4" s="146" t="str">
        <x:v>异常总数</x:v>
      </x:c>
      <x:c r="H4" s="147" t="str">
        <x:v>未关闭数</x:v>
      </x:c>
      <x:c r="J4" s="105" t="str">
        <x:v>物流商</x:v>
      </x:c>
      <x:c r="K4" s="106" t="str">
        <x:v>订单数</x:v>
      </x:c>
      <x:c r="L4" s="106" t="str">
        <x:v>已签收</x:v>
      </x:c>
      <x:c r="M4" s="107" t="str">
        <x:v>准时签收率</x:v>
      </x:c>
    </x:row>
    <x:row r="5">
      <x:c r="A5" s="26" t="str">
        <x:v>欧洲</x:v>
      </x:c>
      <x:c r="B5" s="26" t="n">
        <x:f>COUNTIFS('订单主数据'!$F$6:$F$101,$A5,'订单主数据'!$O$6:$O$101,"海运")</x:f>
        <x:v>19</x:v>
      </x:c>
      <x:c r="C5" s="26" t="n">
        <x:f>COUNTIFS('订单主数据'!$F$6:$F$101,$A5,'订单主数据'!$O$6:$O$101,"空运")</x:f>
        <x:v>5</x:v>
      </x:c>
      <x:c r="D5" s="26" t="n">
        <x:f>COUNTIFS('订单主数据'!$F$6:$F$101,$A5,'订单主数据'!$O$6:$O$101,"国际快递")</x:f>
        <x:v>9</x:v>
      </x:c>
      <x:c r="F5" s="26" t="str">
        <x:v>生产与备货</x:v>
      </x:c>
      <x:c r="G5" s="26" t="n">
        <x:f>COUNTIF('订单主数据'!$AR$6:$AR$101,F5)</x:f>
        <x:v>6</x:v>
      </x:c>
      <x:c r="H5" s="26" t="n">
        <x:f>COUNTIFS('订单主数据'!$AR$6:$AR$101,F5,'订单主数据'!$AN$6:$AN$101,"&lt;&gt;已关闭")</x:f>
        <x:v>2</x:v>
      </x:c>
      <x:c r="J5" s="26" t="str">
        <x:v>Maersk</x:v>
      </x:c>
      <x:c r="K5" s="26" t="n">
        <x:f>COUNTIF('订单主数据'!$P$6:$P$101,J5)</x:f>
        <x:v>17</x:v>
      </x:c>
      <x:c r="L5" s="26" t="n">
        <x:f>COUNTIFS('订单主数据'!$P$6:$P$101,J5,'订单主数据'!$X$6:$X$101,"&lt;&gt;")</x:f>
        <x:v>14</x:v>
      </x:c>
      <x:c r="M5" s="41" t="n">
        <x:f>IFERROR(COUNTIFS('订单主数据'!$P$6:$P$101,J5,'订单主数据'!$AQ$6:$AQ$101,"是")/L5,0)</x:f>
        <x:v>0.8571428571428571</x:v>
      </x:c>
    </x:row>
    <x:row r="6">
      <x:c r="A6" s="27" t="str">
        <x:v>北美</x:v>
      </x:c>
      <x:c r="B6" s="27" t="n">
        <x:f>COUNTIFS('订单主数据'!$F$6:$F$101,$A6,'订单主数据'!$O$6:$O$101,"海运")</x:f>
        <x:v>16</x:v>
      </x:c>
      <x:c r="C6" s="27" t="n">
        <x:f>COUNTIFS('订单主数据'!$F$6:$F$101,$A6,'订单主数据'!$O$6:$O$101,"空运")</x:f>
        <x:v>2</x:v>
      </x:c>
      <x:c r="D6" s="27" t="n">
        <x:f>COUNTIFS('订单主数据'!$F$6:$F$101,$A6,'订单主数据'!$O$6:$O$101,"国际快递")</x:f>
        <x:v>8</x:v>
      </x:c>
      <x:c r="F6" s="27" t="str">
        <x:v>订单与商务</x:v>
      </x:c>
      <x:c r="G6" s="27" t="n">
        <x:f>COUNTIF('订单主数据'!$AR$6:$AR$101,F6)</x:f>
        <x:v>2</x:v>
      </x:c>
      <x:c r="H6" s="27" t="n">
        <x:f>COUNTIFS('订单主数据'!$AR$6:$AR$101,F6,'订单主数据'!$AN$6:$AN$101,"&lt;&gt;已关闭")</x:f>
        <x:v>0</x:v>
      </x:c>
      <x:c r="J6" s="27" t="str">
        <x:v>CMA CGM</x:v>
      </x:c>
      <x:c r="K6" s="27" t="n">
        <x:f>COUNTIF('订单主数据'!$P$6:$P$101,J6)</x:f>
        <x:v>15</x:v>
      </x:c>
      <x:c r="L6" s="27" t="n">
        <x:f>COUNTIFS('订单主数据'!$P$6:$P$101,J6,'订单主数据'!$X$6:$X$101,"&lt;&gt;")</x:f>
        <x:v>9</x:v>
      </x:c>
      <x:c r="M6" s="42" t="n">
        <x:f>IFERROR(COUNTIFS('订单主数据'!$P$6:$P$101,J6,'订单主数据'!$AQ$6:$AQ$101,"是")/L6,0)</x:f>
        <x:v>0.8888888888888888</x:v>
      </x:c>
    </x:row>
    <x:row r="7">
      <x:c r="A7" s="27" t="str">
        <x:v>澳洲</x:v>
      </x:c>
      <x:c r="B7" s="27" t="n">
        <x:f>COUNTIFS('订单主数据'!$F$6:$F$101,$A7,'订单主数据'!$O$6:$O$101,"海运")</x:f>
        <x:v>11</x:v>
      </x:c>
      <x:c r="C7" s="27" t="n">
        <x:f>COUNTIFS('订单主数据'!$F$6:$F$101,$A7,'订单主数据'!$O$6:$O$101,"空运")</x:f>
        <x:v>5</x:v>
      </x:c>
      <x:c r="D7" s="27" t="n">
        <x:f>COUNTIFS('订单主数据'!$F$6:$F$101,$A7,'订单主数据'!$O$6:$O$101,"国际快递")</x:f>
        <x:v>4</x:v>
      </x:c>
      <x:c r="F7" s="27" t="str">
        <x:v>单证</x:v>
      </x:c>
      <x:c r="G7" s="27" t="n">
        <x:f>COUNTIF('订单主数据'!$AR$6:$AR$101,F7)</x:f>
        <x:v>2</x:v>
      </x:c>
      <x:c r="H7" s="27" t="n">
        <x:f>COUNTIFS('订单主数据'!$AR$6:$AR$101,F7,'订单主数据'!$AN$6:$AN$101,"&lt;&gt;已关闭")</x:f>
        <x:v>1</x:v>
      </x:c>
      <x:c r="J7" s="27" t="str">
        <x:v>COSCO</x:v>
      </x:c>
      <x:c r="K7" s="27" t="n">
        <x:f>COUNTIF('订单主数据'!$P$6:$P$101,J7)</x:f>
        <x:v>15</x:v>
      </x:c>
      <x:c r="L7" s="27" t="n">
        <x:f>COUNTIFS('订单主数据'!$P$6:$P$101,J7,'订单主数据'!$X$6:$X$101,"&lt;&gt;")</x:f>
        <x:v>12</x:v>
      </x:c>
      <x:c r="M7" s="42" t="n">
        <x:f>IFERROR(COUNTIFS('订单主数据'!$P$6:$P$101,J7,'订单主数据'!$AQ$6:$AQ$101,"是")/L7,0)</x:f>
        <x:v>0.8333333333333334</x:v>
      </x:c>
    </x:row>
    <x:row r="8">
      <x:c r="A8" s="27" t="str">
        <x:v>亚洲</x:v>
      </x:c>
      <x:c r="B8" s="27" t="n">
        <x:f>COUNTIFS('订单主数据'!$F$6:$F$101,$A8,'订单主数据'!$O$6:$O$101,"海运")</x:f>
        <x:v>6</x:v>
      </x:c>
      <x:c r="C8" s="27" t="n">
        <x:f>COUNTIFS('订单主数据'!$F$6:$F$101,$A8,'订单主数据'!$O$6:$O$101,"空运")</x:f>
        <x:v>1</x:v>
      </x:c>
      <x:c r="D8" s="27" t="n">
        <x:f>COUNTIFS('订单主数据'!$F$6:$F$101,$A8,'订单主数据'!$O$6:$O$101,"国际快递")</x:f>
        <x:v>6</x:v>
      </x:c>
      <x:c r="F8" s="27" t="str">
        <x:v>出运</x:v>
      </x:c>
      <x:c r="G8" s="27" t="n">
        <x:f>COUNTIF('订单主数据'!$AR$6:$AR$101,F8)</x:f>
        <x:v>5</x:v>
      </x:c>
      <x:c r="H8" s="27" t="n">
        <x:f>COUNTIFS('订单主数据'!$AR$6:$AR$101,F8,'订单主数据'!$AN$6:$AN$101,"&lt;&gt;已关闭")</x:f>
        <x:v>2</x:v>
      </x:c>
      <x:c r="J8" s="27" t="str">
        <x:v>ONE</x:v>
      </x:c>
      <x:c r="K8" s="27" t="n">
        <x:f>COUNTIF('订单主数据'!$P$6:$P$101,J8)</x:f>
        <x:v>8</x:v>
      </x:c>
      <x:c r="L8" s="27" t="n">
        <x:f>COUNTIFS('订单主数据'!$P$6:$P$101,J8,'订单主数据'!$X$6:$X$101,"&lt;&gt;")</x:f>
        <x:v>4</x:v>
      </x:c>
      <x:c r="M8" s="42" t="n">
        <x:f>IFERROR(COUNTIFS('订单主数据'!$P$6:$P$101,J8,'订单主数据'!$AQ$6:$AQ$101,"是")/L8,0)</x:f>
        <x:v>1</x:v>
      </x:c>
    </x:row>
    <x:row r="9">
      <x:c r="A9" s="28" t="str">
        <x:v>中东</x:v>
      </x:c>
      <x:c r="B9" s="28" t="n">
        <x:f>COUNTIFS('订单主数据'!$F$6:$F$101,$A9,'订单主数据'!$O$6:$O$101,"海运")</x:f>
        <x:v>3</x:v>
      </x:c>
      <x:c r="C9" s="28" t="n">
        <x:f>COUNTIFS('订单主数据'!$F$6:$F$101,$A9,'订单主数据'!$O$6:$O$101,"空运")</x:f>
        <x:v>0</x:v>
      </x:c>
      <x:c r="D9" s="28" t="n">
        <x:f>COUNTIFS('订单主数据'!$F$6:$F$101,$A9,'订单主数据'!$O$6:$O$101,"国际快递")</x:f>
        <x:v>1</x:v>
      </x:c>
      <x:c r="F9" s="27" t="str">
        <x:v>在途物流</x:v>
      </x:c>
      <x:c r="G9" s="27" t="n">
        <x:f>COUNTIF('订单主数据'!$AR$6:$AR$101,F9)</x:f>
        <x:v>3</x:v>
      </x:c>
      <x:c r="H9" s="27" t="n">
        <x:f>COUNTIFS('订单主数据'!$AR$6:$AR$101,F9,'订单主数据'!$AN$6:$AN$101,"&lt;&gt;已关闭")</x:f>
        <x:v>1</x:v>
      </x:c>
      <x:c r="J9" s="27" t="str">
        <x:v>DHL Global Forwarding</x:v>
      </x:c>
      <x:c r="K9" s="27" t="n">
        <x:f>COUNTIF('订单主数据'!$P$6:$P$101,J9)</x:f>
        <x:v>7</x:v>
      </x:c>
      <x:c r="L9" s="27" t="n">
        <x:f>COUNTIFS('订单主数据'!$P$6:$P$101,J9,'订单主数据'!$X$6:$X$101,"&lt;&gt;")</x:f>
        <x:v>6</x:v>
      </x:c>
      <x:c r="M9" s="42" t="n">
        <x:f>IFERROR(COUNTIFS('订单主数据'!$P$6:$P$101,J9,'订单主数据'!$AQ$6:$AQ$101,"是")/L9,0)</x:f>
        <x:v>0.6666666666666666</x:v>
      </x:c>
    </x:row>
    <x:row r="10">
      <x:c r="F10" s="28" t="str">
        <x:v>目的国与签收</x:v>
      </x:c>
      <x:c r="G10" s="28" t="n">
        <x:f>COUNTIF('订单主数据'!$AR$6:$AR$101,F10)</x:f>
        <x:v>2</x:v>
      </x:c>
      <x:c r="H10" s="28" t="n">
        <x:f>COUNTIFS('订单主数据'!$AR$6:$AR$101,F10,'订单主数据'!$AN$6:$AN$101,"&lt;&gt;已关闭")</x:f>
        <x:v>0</x:v>
      </x:c>
      <x:c r="J10" s="27" t="str">
        <x:v>Kuehne+Nagel</x:v>
      </x:c>
      <x:c r="K10" s="27" t="n">
        <x:f>COUNTIF('订单主数据'!$P$6:$P$101,J10)</x:f>
        <x:v>6</x:v>
      </x:c>
      <x:c r="L10" s="27" t="n">
        <x:f>COUNTIFS('订单主数据'!$P$6:$P$101,J10,'订单主数据'!$X$6:$X$101,"&lt;&gt;")</x:f>
        <x:v>3</x:v>
      </x:c>
      <x:c r="M10" s="42" t="n">
        <x:f>IFERROR(COUNTIFS('订单主数据'!$P$6:$P$101,J10,'订单主数据'!$AQ$6:$AQ$101,"是")/L10,0)</x:f>
        <x:v>1</x:v>
      </x:c>
    </x:row>
    <x:row r="11">
      <x:c r="J11" s="27" t="str">
        <x:v>DHL Express</x:v>
      </x:c>
      <x:c r="K11" s="27" t="n">
        <x:f>COUNTIF('订单主数据'!$P$6:$P$101,J11)</x:f>
        <x:v>17</x:v>
      </x:c>
      <x:c r="L11" s="27" t="n">
        <x:f>COUNTIFS('订单主数据'!$P$6:$P$101,J11,'订单主数据'!$X$6:$X$101,"&lt;&gt;")</x:f>
        <x:v>11</x:v>
      </x:c>
      <x:c r="M11" s="42" t="n">
        <x:f>IFERROR(COUNTIFS('订单主数据'!$P$6:$P$101,J11,'订单主数据'!$AQ$6:$AQ$101,"是")/L11,0)</x:f>
        <x:v>1</x:v>
      </x:c>
    </x:row>
    <x:row r="12">
      <x:c r="J12" s="28" t="str">
        <x:v>UPS</x:v>
      </x:c>
      <x:c r="K12" s="28" t="n">
        <x:f>COUNTIF('订单主数据'!$P$6:$P$101,J12)</x:f>
        <x:v>11</x:v>
      </x:c>
      <x:c r="L12" s="28" t="n">
        <x:f>COUNTIFS('订单主数据'!$P$6:$P$101,J12,'订单主数据'!$X$6:$X$101,"&lt;&gt;")</x:f>
        <x:v>9</x:v>
      </x:c>
      <x:c r="M12" s="43" t="n">
        <x:f>IFERROR(COUNTIFS('订单主数据'!$P$6:$P$101,J12,'订单主数据'!$AQ$6:$AQ$101,"是")/L12,0)</x:f>
        <x:v>1</x:v>
      </x:c>
    </x:row>
    <x:row r="14" ht="32" customHeight="1">
      <x:c r="A14" s="19" t="str">
        <x:v>月份</x:v>
      </x:c>
      <x:c r="B14" s="20" t="str">
        <x:v>订单数</x:v>
      </x:c>
      <x:c r="C14" s="21" t="str">
        <x:v>异常订单数</x:v>
      </x:c>
      <x:c r="F14" s="164" t="str">
        <x:v>解读提示</x:v>
      </x:c>
      <x:c r="G14" s="165"/>
      <x:c r="H14" s="165"/>
      <x:c r="I14" s="165"/>
      <x:c r="J14" s="165"/>
      <x:c r="K14" s="165"/>
      <x:c r="L14" s="165"/>
      <x:c r="M14" s="166"/>
    </x:row>
    <x:row r="15" ht="28" customHeight="1">
      <x:c r="A15" s="26" t="str">
        <x:v>2026-01</x:v>
      </x:c>
      <x:c r="B15" s="26" t="n">
        <x:f>COUNTIFS('订单主数据'!$B$6:$B$101,"&gt;="&amp;DATE(2026,1,1),'订单主数据'!$B$6:$B$101,"&lt;"&amp;DATE(2026,2,1))</x:f>
        <x:v>17</x:v>
      </x:c>
      <x:c r="C15" s="26" t="n">
        <x:f>COUNTIFS('订单主数据'!$B$6:$B$101,"&gt;="&amp;DATE(2026,1,1),'订单主数据'!$B$6:$B$101,"&lt;"&amp;DATE(2026,2,1),'订单主数据'!$AI$6:$AI$101,"&lt;&gt;无异常")</x:f>
        <x:v>3</x:v>
      </x:c>
      <x:c r="F15" s="167" t="str">
        <x:v>1. 先看未关闭异常是否集中在生产、出运或目的国环节。</x:v>
      </x:c>
      <x:c r="G15" s="167"/>
      <x:c r="H15" s="167"/>
      <x:c r="I15" s="167"/>
      <x:c r="J15" s="167"/>
      <x:c r="K15" s="167"/>
      <x:c r="L15" s="167"/>
      <x:c r="M15" s="167"/>
    </x:row>
    <x:row r="16" ht="28" customHeight="1">
      <x:c r="A16" s="27" t="str">
        <x:v>2026-02</x:v>
      </x:c>
      <x:c r="B16" s="27" t="n">
        <x:f>COUNTIFS('订单主数据'!$B$6:$B$101,"&gt;="&amp;DATE(2026,2,1),'订单主数据'!$B$6:$B$101,"&lt;"&amp;DATE(2026,3,1))</x:f>
        <x:v>16</x:v>
      </x:c>
      <x:c r="C16" s="27" t="n">
        <x:f>COUNTIFS('订单主数据'!$B$6:$B$101,"&gt;="&amp;DATE(2026,2,1),'订单主数据'!$B$6:$B$101,"&lt;"&amp;DATE(2026,3,1),'订单主数据'!$AI$6:$AI$101,"&lt;&gt;无异常")</x:f>
        <x:v>4</x:v>
      </x:c>
      <x:c r="F16" s="109" t="str">
        <x:v>2. 再对比物流商准时签收率，判断是否需要调整承运人。</x:v>
      </x:c>
      <x:c r="G16" s="109"/>
      <x:c r="H16" s="109"/>
      <x:c r="I16" s="109"/>
      <x:c r="J16" s="109"/>
      <x:c r="K16" s="109"/>
      <x:c r="L16" s="109"/>
      <x:c r="M16" s="109"/>
    </x:row>
    <x:row r="17" ht="28" customHeight="1">
      <x:c r="A17" s="27" t="str">
        <x:v>2026-03</x:v>
      </x:c>
      <x:c r="B17" s="27" t="n">
        <x:f>COUNTIFS('订单主数据'!$B$6:$B$101,"&gt;="&amp;DATE(2026,3,1),'订单主数据'!$B$6:$B$101,"&lt;"&amp;DATE(2026,4,1))</x:f>
        <x:v>18</x:v>
      </x:c>
      <x:c r="C17" s="27" t="n">
        <x:f>COUNTIFS('订单主数据'!$B$6:$B$101,"&gt;="&amp;DATE(2026,3,1),'订单主数据'!$B$6:$B$101,"&lt;"&amp;DATE(2026,4,1),'订单主数据'!$AI$6:$AI$101,"&lt;&gt;无异常")</x:f>
        <x:v>3</x:v>
      </x:c>
      <x:c r="F17" s="109" t="str">
        <x:v>3. 区域×运输方式用于检查订单结构及旺季舱位风险。</x:v>
      </x:c>
      <x:c r="G17" s="109"/>
      <x:c r="H17" s="109"/>
      <x:c r="I17" s="109"/>
      <x:c r="J17" s="109"/>
      <x:c r="K17" s="109"/>
      <x:c r="L17" s="109"/>
      <x:c r="M17" s="109"/>
    </x:row>
    <x:row r="18" ht="28" customHeight="1">
      <x:c r="A18" s="27" t="str">
        <x:v>2026-04</x:v>
      </x:c>
      <x:c r="B18" s="27" t="n">
        <x:f>COUNTIFS('订单主数据'!$B$6:$B$101,"&gt;="&amp;DATE(2026,4,1),'订单主数据'!$B$6:$B$101,"&lt;"&amp;DATE(2026,5,1))</x:f>
        <x:v>17</x:v>
      </x:c>
      <x:c r="C18" s="27" t="n">
        <x:f>COUNTIFS('订单主数据'!$B$6:$B$101,"&gt;="&amp;DATE(2026,4,1),'订单主数据'!$B$6:$B$101,"&lt;"&amp;DATE(2026,5,1),'订单主数据'!$AI$6:$AI$101,"&lt;&gt;无异常")</x:f>
        <x:v>4</x:v>
      </x:c>
      <x:c r="F18" s="109" t="str">
        <x:v>4. 月度异常率突然上升时，应回查供应商、物流商和客户变更记录。</x:v>
      </x:c>
      <x:c r="G18" s="109"/>
      <x:c r="H18" s="109"/>
      <x:c r="I18" s="109"/>
      <x:c r="J18" s="109"/>
      <x:c r="K18" s="109"/>
      <x:c r="L18" s="109"/>
      <x:c r="M18" s="109"/>
    </x:row>
    <x:row r="19" ht="28" customHeight="1">
      <x:c r="A19" s="27" t="str">
        <x:v>2026-05</x:v>
      </x:c>
      <x:c r="B19" s="27" t="n">
        <x:f>COUNTIFS('订单主数据'!$B$6:$B$101,"&gt;="&amp;DATE(2026,5,1),'订单主数据'!$B$6:$B$101,"&lt;"&amp;DATE(2026,6,1))</x:f>
        <x:v>18</x:v>
      </x:c>
      <x:c r="C19" s="27" t="n">
        <x:f>COUNTIFS('订单主数据'!$B$6:$B$101,"&gt;="&amp;DATE(2026,5,1),'订单主数据'!$B$6:$B$101,"&lt;"&amp;DATE(2026,6,1),'订单主数据'!$AI$6:$AI$101,"&lt;&gt;无异常")</x:f>
        <x:v>4</x:v>
      </x:c>
      <x:c r="F19" s="168" t="str">
        <x:v>5. 本页采用与数据透视表相同的多维汇总逻辑，并以公式保持可审计性。</x:v>
      </x:c>
      <x:c r="G19" s="168"/>
      <x:c r="H19" s="168"/>
      <x:c r="I19" s="168"/>
      <x:c r="J19" s="168"/>
      <x:c r="K19" s="168"/>
      <x:c r="L19" s="168"/>
      <x:c r="M19" s="168"/>
    </x:row>
    <x:row r="20">
      <x:c r="A20" s="28" t="str">
        <x:v>2026-06</x:v>
      </x:c>
      <x:c r="B20" s="28" t="n">
        <x:f>COUNTIFS('订单主数据'!$B$6:$B$101,"&gt;="&amp;DATE(2026,6,1),'订单主数据'!$B$6:$B$101,"&lt;"&amp;DATE(2026,7,1))</x:f>
        <x:v>10</x:v>
      </x:c>
      <x:c r="C20" s="28" t="n">
        <x:f>COUNTIFS('订单主数据'!$B$6:$B$101,"&gt;="&amp;DATE(2026,6,1),'订单主数据'!$B$6:$B$101,"&lt;"&amp;DATE(2026,7,1),'订单主数据'!$AI$6:$AI$101,"&lt;&gt;无异常")</x:f>
        <x:v>2</x:v>
      </x:c>
    </x:row>
  </x:sheetData>
  <x:mergeCells>
    <x:mergeCell ref="A1:N1"/>
    <x:mergeCell ref="A2:N2"/>
    <x:mergeCell ref="F14:M14"/>
    <x:mergeCell ref="F15:M15"/>
    <x:mergeCell ref="F16:M16"/>
    <x:mergeCell ref="F17:M17"/>
    <x:mergeCell ref="F18:M18"/>
    <x:mergeCell ref="F19:M1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2" hidden="0" customWidth="1"/>
    <x:col min="4" max="4" width="17" hidden="0" customWidth="1"/>
    <x:col min="5" max="5" width="18" hidden="0" customWidth="1"/>
    <x:col min="6" max="6" width="9" hidden="0" customWidth="1"/>
    <x:col min="7" max="7" width="25" hidden="0" customWidth="1"/>
    <x:col min="8" max="8" width="14" hidden="0" customWidth="1"/>
    <x:col min="9" max="9" width="12" hidden="0" customWidth="1"/>
    <x:col min="10" max="10" width="28" hidden="0" customWidth="1"/>
    <x:col min="11" max="11" width="11" hidden="0" customWidth="1"/>
    <x:col min="12" max="12" width="11" hidden="0" customWidth="1"/>
    <x:col min="13" max="13" width="24" hidden="0" customWidth="1"/>
    <x:col min="14" max="14" width="25" hidden="0" customWidth="1"/>
    <x:col min="15" max="15" width="12" hidden="0" customWidth="1"/>
    <x:col min="16" max="16" width="23" hidden="0" customWidth="1"/>
  </x:cols>
  <x:sheetData>
    <x:row r="1" ht="34" customHeight="1">
      <x:c r="A1" s="4" t="str">
        <x:v>订单异常处理台账</x:v>
      </x:c>
    </x:row>
    <x:row r="2" ht="22" customHeight="1">
      <x:c r="A2" s="7" t="str">
        <x:v>从发现、分级、分派到客户通知和关闭复盘的全流程记录</x:v>
      </x:c>
      <x:c r="B2" s="7" t="str">
        <x:v>从发现、分级、分派到客户通知和关闭复盘的全流程记录</x:v>
      </x:c>
      <x:c r="C2" s="7" t="str">
        <x:v>从发现、分级、分派到客户通知和关闭复盘的全流程记录</x:v>
      </x:c>
      <x:c r="D2" s="7" t="str">
        <x:v>从发现、分级、分派到客户通知和关闭复盘的全流程记录</x:v>
      </x:c>
      <x:c r="E2" s="7" t="str">
        <x:v>从发现、分级、分派到客户通知和关闭复盘的全流程记录</x:v>
      </x:c>
      <x:c r="F2" s="7" t="str">
        <x:v>从发现、分级、分派到客户通知和关闭复盘的全流程记录</x:v>
      </x:c>
      <x:c r="G2" s="7" t="str">
        <x:v>从发现、分级、分派到客户通知和关闭复盘的全流程记录</x:v>
      </x:c>
      <x:c r="H2" s="7" t="str">
        <x:v>从发现、分级、分派到客户通知和关闭复盘的全流程记录</x:v>
      </x:c>
      <x:c r="I2" s="7" t="str">
        <x:v>从发现、分级、分派到客户通知和关闭复盘的全流程记录</x:v>
      </x:c>
      <x:c r="J2" s="7" t="str">
        <x:v>从发现、分级、分派到客户通知和关闭复盘的全流程记录</x:v>
      </x:c>
      <x:c r="K2" s="7" t="str">
        <x:v>从发现、分级、分派到客户通知和关闭复盘的全流程记录</x:v>
      </x:c>
      <x:c r="L2" s="7" t="str">
        <x:v>从发现、分级、分派到客户通知和关闭复盘的全流程记录</x:v>
      </x:c>
      <x:c r="M2" s="7" t="str">
        <x:v>从发现、分级、分派到客户通知和关闭复盘的全流程记录</x:v>
      </x:c>
      <x:c r="N2" s="7" t="str">
        <x:v>从发现、分级、分派到客户通知和关闭复盘的全流程记录</x:v>
      </x:c>
      <x:c r="O2" s="7" t="str">
        <x:v>从发现、分级、分派到客户通知和关闭复盘的全流程记录</x:v>
      </x:c>
      <x:c r="P2" s="7" t="str">
        <x:v>从发现、分级、分派到客户通知和关闭复盘的全流程记录</x:v>
      </x:c>
    </x:row>
    <x:row r="5" ht="32" customHeight="1">
      <x:c r="A5" s="145" t="str">
        <x:v>异常编号</x:v>
      </x:c>
      <x:c r="B5" s="146" t="str">
        <x:v>订单编号</x:v>
      </x:c>
      <x:c r="C5" s="146" t="str">
        <x:v>发现日期</x:v>
      </x:c>
      <x:c r="D5" s="146" t="str">
        <x:v>异常大类</x:v>
      </x:c>
      <x:c r="E5" s="146" t="str">
        <x:v>异常类型</x:v>
      </x:c>
      <x:c r="F5" s="146" t="str">
        <x:v>等级</x:v>
      </x:c>
      <x:c r="G5" s="146" t="str">
        <x:v>影响说明</x:v>
      </x:c>
      <x:c r="H5" s="146" t="str">
        <x:v>责任人</x:v>
      </x:c>
      <x:c r="I5" s="146" t="str">
        <x:v>处理截止</x:v>
      </x:c>
      <x:c r="J5" s="146" t="str">
        <x:v>临时措施</x:v>
      </x:c>
      <x:c r="K5" s="146" t="str">
        <x:v>客户通知</x:v>
      </x:c>
      <x:c r="L5" s="146" t="str">
        <x:v>处理状态</x:v>
      </x:c>
      <x:c r="M5" s="146" t="str">
        <x:v>根本原因</x:v>
      </x:c>
      <x:c r="N5" s="146" t="str">
        <x:v>最终结果</x:v>
      </x:c>
      <x:c r="O5" s="146" t="str">
        <x:v>关闭日期</x:v>
      </x:c>
      <x:c r="P5" s="147" t="str">
        <x:v>证据/备注</x:v>
      </x:c>
    </x:row>
    <x:row r="6" ht="38" customHeight="1">
      <x:c r="A6" s="26" t="str">
        <x:f>"EX-26-001"</x:f>
        <x:v>EX-26-001</x:v>
      </x:c>
      <x:c r="B6" s="26" t="str">
        <x:f>'订单主数据'!A10</x:f>
        <x:v>PO-26-005</x:v>
      </x:c>
      <x:c r="C6" s="32" t="n">
        <x:f>'订单主数据'!B10+18</x:f>
        <x:v>46050</x:v>
      </x:c>
      <x:c r="D6" s="26" t="str">
        <x:f>'订单主数据'!AR10</x:f>
        <x:v>生产与备货</x:v>
      </x:c>
      <x:c r="E6" s="26" t="str">
        <x:f>'订单主数据'!AI10</x:f>
        <x:v>原料延期</x:v>
      </x:c>
      <x:c r="F6" s="26" t="str">
        <x:f>'订单主数据'!AJ10</x:f>
        <x:v>B级</x:v>
      </x:c>
      <x:c r="G6" s="68" t="str">
        <x:f>'订单主数据'!AO10</x:f>
        <x:v>原料延期导致计划节点存在一般偏差</x:v>
      </x:c>
      <x:c r="H6" s="68" t="str">
        <x:f>'订单主数据'!AK10</x:f>
        <x:v>供应链专员</x:v>
      </x:c>
      <x:c r="I6" s="169" t="n">
        <x:f>'订单主数据'!AL10</x:f>
        <x:v>46052</x:v>
      </x:c>
      <x:c r="J6" s="68" t="str">
        <x:f>IF(L6="已关闭","调整节点并完成补救","锁定影响范围，协调工厂/物流提供恢复方案")</x:f>
        <x:v>调整节点并完成补救</x:v>
      </x:c>
      <x:c r="K6" s="68" t="str">
        <x:f>'订单主数据'!AM10</x:f>
        <x:v>已通知</x:v>
      </x:c>
      <x:c r="L6" s="68" t="str">
        <x:f>'订单主数据'!AN10</x:f>
        <x:v>已关闭</x:v>
      </x:c>
      <x:c r="M6" s="68" t="str">
        <x:f>IF(L6="已关闭","前置检查或资源预留不足","待根因分析")</x:f>
        <x:v>前置检查或资源预留不足</x:v>
      </x:c>
      <x:c r="N6" s="68" t="str">
        <x:f>'订单主数据'!AP10</x:f>
        <x:v>已完成补救并取得客户确认</x:v>
      </x:c>
      <x:c r="O6" s="169" t="n">
        <x:f>I6+2</x:f>
        <x:v>46054</x:v>
      </x:c>
      <x:c r="P6" s="68" t="str">
        <x:f>IF(L6="已关闭","邮件确认及相关单证已归档","持续跟踪")</x:f>
        <x:v>邮件确认及相关单证已归档</x:v>
      </x:c>
    </x:row>
    <x:row r="7" ht="38" customHeight="1">
      <x:c r="A7" s="27" t="str">
        <x:f>"EX-26-002"</x:f>
        <x:v>EX-26-002</x:v>
      </x:c>
      <x:c r="B7" s="27" t="str">
        <x:f>'订单主数据'!A15</x:f>
        <x:v>PO-26-010</x:v>
      </x:c>
      <x:c r="C7" s="33" t="n">
        <x:f>'订单主数据'!B15+29</x:f>
        <x:v>46069</x:v>
      </x:c>
      <x:c r="D7" s="27" t="str">
        <x:f>'订单主数据'!AR15</x:f>
        <x:v>订单与商务</x:v>
      </x:c>
      <x:c r="E7" s="27" t="str">
        <x:f>'订单主数据'!AI15</x:f>
        <x:v>客户临时改单</x:v>
      </x:c>
      <x:c r="F7" s="27" t="str">
        <x:f>'订单主数据'!AJ15</x:f>
        <x:v>B级</x:v>
      </x:c>
      <x:c r="G7" s="69" t="str">
        <x:f>'订单主数据'!AO15</x:f>
        <x:v>客户临时改单导致计划节点存在一般偏差</x:v>
      </x:c>
      <x:c r="H7" s="69" t="str">
        <x:f>'订单主数据'!AK15</x:f>
        <x:v>外贸跟单</x:v>
      </x:c>
      <x:c r="I7" s="170" t="n">
        <x:f>'订单主数据'!AL15</x:f>
        <x:v>46071</x:v>
      </x:c>
      <x:c r="J7" s="69" t="str">
        <x:f>IF(L7="已关闭","调整节点并完成补救","锁定影响范围，协调工厂/物流提供恢复方案")</x:f>
        <x:v>调整节点并完成补救</x:v>
      </x:c>
      <x:c r="K7" s="69" t="str">
        <x:f>'订单主数据'!AM15</x:f>
        <x:v>已通知</x:v>
      </x:c>
      <x:c r="L7" s="69" t="str">
        <x:f>'订单主数据'!AN15</x:f>
        <x:v>已关闭</x:v>
      </x:c>
      <x:c r="M7" s="69" t="str">
        <x:f>IF(L7="已关闭","前置检查或资源预留不足","待根因分析")</x:f>
        <x:v>前置检查或资源预留不足</x:v>
      </x:c>
      <x:c r="N7" s="69" t="str">
        <x:f>'订单主数据'!AP15</x:f>
        <x:v>已完成补救并取得客户确认</x:v>
      </x:c>
      <x:c r="O7" s="170" t="n">
        <x:f>I7+2</x:f>
        <x:v>46073</x:v>
      </x:c>
      <x:c r="P7" s="69" t="str">
        <x:f>IF(L7="已关闭","邮件确认及相关单证已归档","持续跟踪")</x:f>
        <x:v>邮件确认及相关单证已归档</x:v>
      </x:c>
    </x:row>
    <x:row r="8" ht="38" customHeight="1">
      <x:c r="A8" s="27" t="str">
        <x:f>"EX-26-003"</x:f>
        <x:v>EX-26-003</x:v>
      </x:c>
      <x:c r="B8" s="27" t="str">
        <x:f>'订单主数据'!A19</x:f>
        <x:v>PO-26-014</x:v>
      </x:c>
      <x:c r="C8" s="33" t="n">
        <x:f>'订单主数据'!B19+26</x:f>
        <x:v>46073</x:v>
      </x:c>
      <x:c r="D8" s="27" t="str">
        <x:f>'订单主数据'!AR19</x:f>
        <x:v>生产与备货</x:v>
      </x:c>
      <x:c r="E8" s="27" t="str">
        <x:f>'订单主数据'!AI19</x:f>
        <x:v>品质返工</x:v>
      </x:c>
      <x:c r="F8" s="27" t="str">
        <x:f>'订单主数据'!AJ19</x:f>
        <x:v>A级</x:v>
      </x:c>
      <x:c r="G8" s="69" t="str">
        <x:f>'订单主数据'!AO19</x:f>
        <x:v>品质返工导致计划节点存在重大偏差</x:v>
      </x:c>
      <x:c r="H8" s="69" t="str">
        <x:f>'订单主数据'!AK19</x:f>
        <x:v>品质主管</x:v>
      </x:c>
      <x:c r="I8" s="170" t="n">
        <x:f>'订单主数据'!AL19</x:f>
        <x:v>46075</x:v>
      </x:c>
      <x:c r="J8" s="69" t="str">
        <x:f>IF(L8="已关闭","调整节点并完成补救","锁定影响范围，协调工厂/物流提供恢复方案")</x:f>
        <x:v>调整节点并完成补救</x:v>
      </x:c>
      <x:c r="K8" s="69" t="str">
        <x:f>'订单主数据'!AM19</x:f>
        <x:v>已通知</x:v>
      </x:c>
      <x:c r="L8" s="69" t="str">
        <x:f>'订单主数据'!AN19</x:f>
        <x:v>已关闭</x:v>
      </x:c>
      <x:c r="M8" s="69" t="str">
        <x:f>IF(L8="已关闭","前置检查或资源预留不足","待根因分析")</x:f>
        <x:v>前置检查或资源预留不足</x:v>
      </x:c>
      <x:c r="N8" s="69" t="str">
        <x:f>'订单主数据'!AP19</x:f>
        <x:v>已完成补救并取得客户确认</x:v>
      </x:c>
      <x:c r="O8" s="170" t="n">
        <x:f>I8+2</x:f>
        <x:v>46077</x:v>
      </x:c>
      <x:c r="P8" s="69" t="str">
        <x:f>IF(L8="已关闭","邮件确认及相关单证已归档","持续跟踪")</x:f>
        <x:v>邮件确认及相关单证已归档</x:v>
      </x:c>
    </x:row>
    <x:row r="9" ht="38" customHeight="1">
      <x:c r="A9" s="27" t="str">
        <x:f>"EX-26-004"</x:f>
        <x:v>EX-26-004</x:v>
      </x:c>
      <x:c r="B9" s="27" t="str">
        <x:f>'订单主数据'!A24</x:f>
        <x:v>PO-26-019</x:v>
      </x:c>
      <x:c r="C9" s="33" t="n">
        <x:f>'订单主数据'!B24+25</x:f>
        <x:v>46081</x:v>
      </x:c>
      <x:c r="D9" s="27" t="str">
        <x:f>'订单主数据'!AR24</x:f>
        <x:v>出运</x:v>
      </x:c>
      <x:c r="E9" s="27" t="str">
        <x:f>'订单主数据'!AI24</x:f>
        <x:v>舱位不足</x:v>
      </x:c>
      <x:c r="F9" s="27" t="str">
        <x:f>'订单主数据'!AJ24</x:f>
        <x:v>B级</x:v>
      </x:c>
      <x:c r="G9" s="69" t="str">
        <x:f>'订单主数据'!AO24</x:f>
        <x:v>舱位不足导致计划节点存在一般偏差</x:v>
      </x:c>
      <x:c r="H9" s="69" t="str">
        <x:f>'订单主数据'!AK24</x:f>
        <x:v>物流操作</x:v>
      </x:c>
      <x:c r="I9" s="170" t="n">
        <x:f>'订单主数据'!AL24</x:f>
        <x:v>46083</x:v>
      </x:c>
      <x:c r="J9" s="69" t="str">
        <x:f>IF(L9="已关闭","调整节点并完成补救","锁定影响范围，协调工厂/物流提供恢复方案")</x:f>
        <x:v>调整节点并完成补救</x:v>
      </x:c>
      <x:c r="K9" s="69" t="str">
        <x:f>'订单主数据'!AM24</x:f>
        <x:v>已通知</x:v>
      </x:c>
      <x:c r="L9" s="69" t="str">
        <x:f>'订单主数据'!AN24</x:f>
        <x:v>已关闭</x:v>
      </x:c>
      <x:c r="M9" s="69" t="str">
        <x:f>IF(L9="已关闭","前置检查或资源预留不足","待根因分析")</x:f>
        <x:v>前置检查或资源预留不足</x:v>
      </x:c>
      <x:c r="N9" s="69" t="str">
        <x:f>'订单主数据'!AP24</x:f>
        <x:v>已完成补救并取得客户确认</x:v>
      </x:c>
      <x:c r="O9" s="170" t="n">
        <x:f>I9+2</x:f>
        <x:v>46085</x:v>
      </x:c>
      <x:c r="P9" s="69" t="str">
        <x:f>IF(L9="已关闭","邮件确认及相关单证已归档","持续跟踪")</x:f>
        <x:v>邮件确认及相关单证已归档</x:v>
      </x:c>
    </x:row>
    <x:row r="10" ht="38" customHeight="1">
      <x:c r="A10" s="27" t="str">
        <x:f>"EX-26-005"</x:f>
        <x:v>EX-26-005</x:v>
      </x:c>
      <x:c r="B10" s="27" t="str">
        <x:f>'订单主数据'!A28</x:f>
        <x:v>PO-26-023</x:v>
      </x:c>
      <x:c r="C10" s="33" t="n">
        <x:f>'订单主数据'!B28+38</x:f>
        <x:v>46101</x:v>
      </x:c>
      <x:c r="D10" s="27" t="str">
        <x:f>'订单主数据'!AR28</x:f>
        <x:v>单证</x:v>
      </x:c>
      <x:c r="E10" s="27" t="str">
        <x:f>'订单主数据'!AI28</x:f>
        <x:v>单证缺失</x:v>
      </x:c>
      <x:c r="F10" s="27" t="str">
        <x:f>'订单主数据'!AJ28</x:f>
        <x:v>A级</x:v>
      </x:c>
      <x:c r="G10" s="69" t="str">
        <x:f>'订单主数据'!AO28</x:f>
        <x:v>单证缺失导致计划节点存在重大偏差</x:v>
      </x:c>
      <x:c r="H10" s="69" t="str">
        <x:f>'订单主数据'!AK28</x:f>
        <x:v>单证专员</x:v>
      </x:c>
      <x:c r="I10" s="170" t="n">
        <x:f>'订单主数据'!AL28</x:f>
        <x:v>46103</x:v>
      </x:c>
      <x:c r="J10" s="69" t="str">
        <x:f>IF(L10="已关闭","调整节点并完成补救","锁定影响范围，协调工厂/物流提供恢复方案")</x:f>
        <x:v>调整节点并完成补救</x:v>
      </x:c>
      <x:c r="K10" s="69" t="str">
        <x:f>'订单主数据'!AM28</x:f>
        <x:v>已通知</x:v>
      </x:c>
      <x:c r="L10" s="69" t="str">
        <x:f>'订单主数据'!AN28</x:f>
        <x:v>已关闭</x:v>
      </x:c>
      <x:c r="M10" s="69" t="str">
        <x:f>IF(L10="已关闭","前置检查或资源预留不足","待根因分析")</x:f>
        <x:v>前置检查或资源预留不足</x:v>
      </x:c>
      <x:c r="N10" s="69" t="str">
        <x:f>'订单主数据'!AP28</x:f>
        <x:v>已完成补救并取得客户确认</x:v>
      </x:c>
      <x:c r="O10" s="170" t="n">
        <x:f>I10+2</x:f>
        <x:v>46105</x:v>
      </x:c>
      <x:c r="P10" s="69" t="str">
        <x:f>IF(L10="已关闭","邮件确认及相关单证已归档","持续跟踪")</x:f>
        <x:v>邮件确认及相关单证已归档</x:v>
      </x:c>
    </x:row>
    <x:row r="11" ht="38" customHeight="1">
      <x:c r="A11" s="27" t="str">
        <x:f>"EX-26-006"</x:f>
        <x:v>EX-26-006</x:v>
      </x:c>
      <x:c r="B11" s="27" t="str">
        <x:f>'订单主数据'!A33</x:f>
        <x:v>PO-26-028</x:v>
      </x:c>
      <x:c r="C11" s="33" t="n">
        <x:f>'订单主数据'!B33+32</x:f>
        <x:v>46104</x:v>
      </x:c>
      <x:c r="D11" s="27" t="str">
        <x:f>'订单主数据'!AR33</x:f>
        <x:v>出运</x:v>
      </x:c>
      <x:c r="E11" s="27" t="str">
        <x:f>'订单主数据'!AI33</x:f>
        <x:v>甩柜/船期变更</x:v>
      </x:c>
      <x:c r="F11" s="27" t="str">
        <x:f>'订单主数据'!AJ33</x:f>
        <x:v>A级</x:v>
      </x:c>
      <x:c r="G11" s="69" t="str">
        <x:f>'订单主数据'!AO33</x:f>
        <x:v>甩柜/船期变更导致计划节点存在重大偏差</x:v>
      </x:c>
      <x:c r="H11" s="69" t="str">
        <x:f>'订单主数据'!AK33</x:f>
        <x:v>物流主管</x:v>
      </x:c>
      <x:c r="I11" s="170" t="n">
        <x:f>'订单主数据'!AL33</x:f>
        <x:v>46106</x:v>
      </x:c>
      <x:c r="J11" s="69" t="str">
        <x:f>IF(L11="已关闭","调整节点并完成补救","锁定影响范围，协调工厂/物流提供恢复方案")</x:f>
        <x:v>调整节点并完成补救</x:v>
      </x:c>
      <x:c r="K11" s="69" t="str">
        <x:f>'订单主数据'!AM33</x:f>
        <x:v>已通知</x:v>
      </x:c>
      <x:c r="L11" s="69" t="str">
        <x:f>'订单主数据'!AN33</x:f>
        <x:v>已关闭</x:v>
      </x:c>
      <x:c r="M11" s="69" t="str">
        <x:f>IF(L11="已关闭","前置检查或资源预留不足","待根因分析")</x:f>
        <x:v>前置检查或资源预留不足</x:v>
      </x:c>
      <x:c r="N11" s="69" t="str">
        <x:f>'订单主数据'!AP33</x:f>
        <x:v>已完成补救并取得客户确认</x:v>
      </x:c>
      <x:c r="O11" s="170" t="n">
        <x:f>I11+2</x:f>
        <x:v>46108</x:v>
      </x:c>
      <x:c r="P11" s="69" t="str">
        <x:f>IF(L11="已关闭","邮件确认及相关单证已归档","持续跟踪")</x:f>
        <x:v>邮件确认及相关单证已归档</x:v>
      </x:c>
    </x:row>
    <x:row r="12" ht="38" customHeight="1">
      <x:c r="A12" s="27" t="str">
        <x:f>"EX-26-007"</x:f>
        <x:v>EX-26-007</x:v>
      </x:c>
      <x:c r="B12" s="27" t="str">
        <x:f>'订单主数据'!A37</x:f>
        <x:v>PO-26-032</x:v>
      </x:c>
      <x:c r="C12" s="33" t="n">
        <x:f>'订单主数据'!B37+27</x:f>
        <x:v>46106</x:v>
      </x:c>
      <x:c r="D12" s="27" t="str">
        <x:f>'订单主数据'!AR37</x:f>
        <x:v>订单与商务</x:v>
      </x:c>
      <x:c r="E12" s="27" t="str">
        <x:f>'订单主数据'!AI37</x:f>
        <x:v>付款延迟</x:v>
      </x:c>
      <x:c r="F12" s="27" t="str">
        <x:f>'订单主数据'!AJ37</x:f>
        <x:v>B级</x:v>
      </x:c>
      <x:c r="G12" s="69" t="str">
        <x:f>'订单主数据'!AO37</x:f>
        <x:v>付款延迟导致计划节点存在一般偏差</x:v>
      </x:c>
      <x:c r="H12" s="69" t="str">
        <x:f>'订单主数据'!AK37</x:f>
        <x:v>销售经理</x:v>
      </x:c>
      <x:c r="I12" s="170" t="n">
        <x:f>'订单主数据'!AL37</x:f>
        <x:v>46108</x:v>
      </x:c>
      <x:c r="J12" s="69" t="str">
        <x:f>IF(L12="已关闭","调整节点并完成补救","锁定影响范围，协调工厂/物流提供恢复方案")</x:f>
        <x:v>调整节点并完成补救</x:v>
      </x:c>
      <x:c r="K12" s="69" t="str">
        <x:f>'订单主数据'!AM37</x:f>
        <x:v>已通知</x:v>
      </x:c>
      <x:c r="L12" s="69" t="str">
        <x:f>'订单主数据'!AN37</x:f>
        <x:v>已关闭</x:v>
      </x:c>
      <x:c r="M12" s="69" t="str">
        <x:f>IF(L12="已关闭","前置检查或资源预留不足","待根因分析")</x:f>
        <x:v>前置检查或资源预留不足</x:v>
      </x:c>
      <x:c r="N12" s="69" t="str">
        <x:f>'订单主数据'!AP37</x:f>
        <x:v>已完成补救并取得客户确认</x:v>
      </x:c>
      <x:c r="O12" s="170" t="n">
        <x:f>I12+2</x:f>
        <x:v>46110</x:v>
      </x:c>
      <x:c r="P12" s="69" t="str">
        <x:f>IF(L12="已关闭","邮件确认及相关单证已归档","持续跟踪")</x:f>
        <x:v>邮件确认及相关单证已归档</x:v>
      </x:c>
    </x:row>
    <x:row r="13" ht="38" customHeight="1">
      <x:c r="A13" s="27" t="str">
        <x:f>"EX-26-008"</x:f>
        <x:v>EX-26-008</x:v>
      </x:c>
      <x:c r="B13" s="27" t="str">
        <x:f>'订单主数据'!A42</x:f>
        <x:v>PO-26-037</x:v>
      </x:c>
      <x:c r="C13" s="33" t="n">
        <x:f>'订单主数据'!B42+38</x:f>
        <x:v>46126</x:v>
      </x:c>
      <x:c r="D13" s="27" t="str">
        <x:f>'订单主数据'!AR42</x:f>
        <x:v>出运</x:v>
      </x:c>
      <x:c r="E13" s="27" t="str">
        <x:f>'订单主数据'!AI42</x:f>
        <x:v>报关查验</x:v>
      </x:c>
      <x:c r="F13" s="27" t="str">
        <x:f>'订单主数据'!AJ42</x:f>
        <x:v>B级</x:v>
      </x:c>
      <x:c r="G13" s="69" t="str">
        <x:f>'订单主数据'!AO42</x:f>
        <x:v>报关查验导致计划节点存在一般偏差</x:v>
      </x:c>
      <x:c r="H13" s="69" t="str">
        <x:f>'订单主数据'!AK42</x:f>
        <x:v>报关协调员</x:v>
      </x:c>
      <x:c r="I13" s="170" t="n">
        <x:f>'订单主数据'!AL42</x:f>
        <x:v>46128</x:v>
      </x:c>
      <x:c r="J13" s="69" t="str">
        <x:f>IF(L13="已关闭","调整节点并完成补救","锁定影响范围，协调工厂/物流提供恢复方案")</x:f>
        <x:v>调整节点并完成补救</x:v>
      </x:c>
      <x:c r="K13" s="69" t="str">
        <x:f>'订单主数据'!AM42</x:f>
        <x:v>已通知</x:v>
      </x:c>
      <x:c r="L13" s="69" t="str">
        <x:f>'订单主数据'!AN42</x:f>
        <x:v>已关闭</x:v>
      </x:c>
      <x:c r="M13" s="69" t="str">
        <x:f>IF(L13="已关闭","前置检查或资源预留不足","待根因分析")</x:f>
        <x:v>前置检查或资源预留不足</x:v>
      </x:c>
      <x:c r="N13" s="69" t="str">
        <x:f>'订单主数据'!AP42</x:f>
        <x:v>已完成补救并取得客户确认</x:v>
      </x:c>
      <x:c r="O13" s="170" t="n">
        <x:f>I13+2</x:f>
        <x:v>46130</x:v>
      </x:c>
      <x:c r="P13" s="69" t="str">
        <x:f>IF(L13="已关闭","邮件确认及相关单证已归档","持续跟踪")</x:f>
        <x:v>邮件确认及相关单证已归档</x:v>
      </x:c>
    </x:row>
    <x:row r="14" ht="38" customHeight="1">
      <x:c r="A14" s="27" t="str">
        <x:f>"EX-26-009"</x:f>
        <x:v>EX-26-009</x:v>
      </x:c>
      <x:c r="B14" s="27" t="str">
        <x:f>'订单主数据'!A46</x:f>
        <x:v>PO-26-041</x:v>
      </x:c>
      <x:c r="C14" s="33" t="n">
        <x:f>'订单主数据'!B46+25</x:f>
        <x:v>46120</x:v>
      </x:c>
      <x:c r="D14" s="27" t="str">
        <x:f>'订单主数据'!AR46</x:f>
        <x:v>在途物流</x:v>
      </x:c>
      <x:c r="E14" s="27" t="str">
        <x:f>'订单主数据'!AI46</x:f>
        <x:v>港口拥堵</x:v>
      </x:c>
      <x:c r="F14" s="27" t="str">
        <x:f>'订单主数据'!AJ46</x:f>
        <x:v>B级</x:v>
      </x:c>
      <x:c r="G14" s="69" t="str">
        <x:f>'订单主数据'!AO46</x:f>
        <x:v>港口拥堵导致计划节点存在一般偏差</x:v>
      </x:c>
      <x:c r="H14" s="69" t="str">
        <x:f>'订单主数据'!AK46</x:f>
        <x:v>物流主管</x:v>
      </x:c>
      <x:c r="I14" s="170" t="n">
        <x:f>'订单主数据'!AL46</x:f>
        <x:v>46122</x:v>
      </x:c>
      <x:c r="J14" s="69" t="str">
        <x:f>IF(L14="已关闭","调整节点并完成补救","锁定影响范围，协调工厂/物流提供恢复方案")</x:f>
        <x:v>调整节点并完成补救</x:v>
      </x:c>
      <x:c r="K14" s="69" t="str">
        <x:f>'订单主数据'!AM46</x:f>
        <x:v>已通知</x:v>
      </x:c>
      <x:c r="L14" s="69" t="str">
        <x:f>'订单主数据'!AN46</x:f>
        <x:v>已关闭</x:v>
      </x:c>
      <x:c r="M14" s="69" t="str">
        <x:f>IF(L14="已关闭","前置检查或资源预留不足","待根因分析")</x:f>
        <x:v>前置检查或资源预留不足</x:v>
      </x:c>
      <x:c r="N14" s="69" t="str">
        <x:f>'订单主数据'!AP46</x:f>
        <x:v>已完成补救并取得客户确认</x:v>
      </x:c>
      <x:c r="O14" s="170" t="n">
        <x:f>I14+2</x:f>
        <x:v>46124</x:v>
      </x:c>
      <x:c r="P14" s="69" t="str">
        <x:f>IF(L14="已关闭","邮件确认及相关单证已归档","持续跟踪")</x:f>
        <x:v>邮件确认及相关单证已归档</x:v>
      </x:c>
    </x:row>
    <x:row r="15" ht="38" customHeight="1">
      <x:c r="A15" s="27" t="str">
        <x:f>"EX-26-010"</x:f>
        <x:v>EX-26-010</x:v>
      </x:c>
      <x:c r="B15" s="27" t="str">
        <x:f>'订单主数据'!A51</x:f>
        <x:v>PO-26-046</x:v>
      </x:c>
      <x:c r="C15" s="33" t="n">
        <x:f>'订单主数据'!B51+18</x:f>
        <x:v>46121</x:v>
      </x:c>
      <x:c r="D15" s="27" t="str">
        <x:f>'订单主数据'!AR51</x:f>
        <x:v>生产与备货</x:v>
      </x:c>
      <x:c r="E15" s="27" t="str">
        <x:f>'订单主数据'!AI51</x:f>
        <x:v>包装破损</x:v>
      </x:c>
      <x:c r="F15" s="27" t="str">
        <x:f>'订单主数据'!AJ51</x:f>
        <x:v>A级</x:v>
      </x:c>
      <x:c r="G15" s="69" t="str">
        <x:f>'订单主数据'!AO51</x:f>
        <x:v>包装破损导致计划节点存在重大偏差</x:v>
      </x:c>
      <x:c r="H15" s="69" t="str">
        <x:f>'订单主数据'!AK51</x:f>
        <x:v>品质主管</x:v>
      </x:c>
      <x:c r="I15" s="170" t="n">
        <x:f>'订单主数据'!AL51</x:f>
        <x:v>46123</x:v>
      </x:c>
      <x:c r="J15" s="69" t="str">
        <x:f>IF(L15="已关闭","调整节点并完成补救","锁定影响范围，协调工厂/物流提供恢复方案")</x:f>
        <x:v>调整节点并完成补救</x:v>
      </x:c>
      <x:c r="K15" s="69" t="str">
        <x:f>'订单主数据'!AM51</x:f>
        <x:v>已通知</x:v>
      </x:c>
      <x:c r="L15" s="69" t="str">
        <x:f>'订单主数据'!AN51</x:f>
        <x:v>已关闭</x:v>
      </x:c>
      <x:c r="M15" s="69" t="str">
        <x:f>IF(L15="已关闭","前置检查或资源预留不足","待根因分析")</x:f>
        <x:v>前置检查或资源预留不足</x:v>
      </x:c>
      <x:c r="N15" s="69" t="str">
        <x:f>'订单主数据'!AP51</x:f>
        <x:v>已完成补救并取得客户确认</x:v>
      </x:c>
      <x:c r="O15" s="170" t="n">
        <x:f>I15+2</x:f>
        <x:v>46125</x:v>
      </x:c>
      <x:c r="P15" s="69" t="str">
        <x:f>IF(L15="已关闭","邮件确认及相关单证已归档","持续跟踪")</x:f>
        <x:v>邮件确认及相关单证已归档</x:v>
      </x:c>
    </x:row>
    <x:row r="16" ht="38" customHeight="1">
      <x:c r="A16" s="27" t="str">
        <x:f>"EX-26-011"</x:f>
        <x:v>EX-26-011</x:v>
      </x:c>
      <x:c r="B16" s="27" t="str">
        <x:f>'订单主数据'!A57</x:f>
        <x:v>PO-26-052</x:v>
      </x:c>
      <x:c r="C16" s="33" t="n">
        <x:f>'订单主数据'!B57+25</x:f>
        <x:v>46139</x:v>
      </x:c>
      <x:c r="D16" s="27" t="str">
        <x:f>'订单主数据'!AR57</x:f>
        <x:v>在途物流</x:v>
      </x:c>
      <x:c r="E16" s="27" t="str">
        <x:f>'订单主数据'!AI57</x:f>
        <x:v>物流轨迹停滞</x:v>
      </x:c>
      <x:c r="F16" s="27" t="str">
        <x:f>'订单主数据'!AJ57</x:f>
        <x:v>B级</x:v>
      </x:c>
      <x:c r="G16" s="69" t="str">
        <x:f>'订单主数据'!AO57</x:f>
        <x:v>物流轨迹停滞导致计划节点存在一般偏差</x:v>
      </x:c>
      <x:c r="H16" s="69" t="str">
        <x:f>'订单主数据'!AK57</x:f>
        <x:v>物流操作</x:v>
      </x:c>
      <x:c r="I16" s="170" t="n">
        <x:f>'订单主数据'!AL57</x:f>
        <x:v>46141</x:v>
      </x:c>
      <x:c r="J16" s="69" t="str">
        <x:f>IF(L16="已关闭","调整节点并完成补救","锁定影响范围，协调工厂/物流提供恢复方案")</x:f>
        <x:v>调整节点并完成补救</x:v>
      </x:c>
      <x:c r="K16" s="69" t="str">
        <x:f>'订单主数据'!AM57</x:f>
        <x:v>已通知</x:v>
      </x:c>
      <x:c r="L16" s="69" t="str">
        <x:f>'订单主数据'!AN57</x:f>
        <x:v>已关闭</x:v>
      </x:c>
      <x:c r="M16" s="69" t="str">
        <x:f>IF(L16="已关闭","前置检查或资源预留不足","待根因分析")</x:f>
        <x:v>前置检查或资源预留不足</x:v>
      </x:c>
      <x:c r="N16" s="69" t="str">
        <x:f>'订单主数据'!AP57</x:f>
        <x:v>已完成补救并取得客户确认</x:v>
      </x:c>
      <x:c r="O16" s="170" t="n">
        <x:f>I16+2</x:f>
        <x:v>46143</x:v>
      </x:c>
      <x:c r="P16" s="69" t="str">
        <x:f>IF(L16="已关闭","邮件确认及相关单证已归档","持续跟踪")</x:f>
        <x:v>邮件确认及相关单证已归档</x:v>
      </x:c>
    </x:row>
    <x:row r="17" ht="38" customHeight="1">
      <x:c r="A17" s="27" t="str">
        <x:f>"EX-26-012"</x:f>
        <x:v>EX-26-012</x:v>
      </x:c>
      <x:c r="B17" s="27" t="str">
        <x:f>'订单主数据'!A62</x:f>
        <x:v>PO-26-057</x:v>
      </x:c>
      <x:c r="C17" s="33" t="n">
        <x:f>'订单主数据'!B62+30</x:f>
        <x:v>46153</x:v>
      </x:c>
      <x:c r="D17" s="27" t="str">
        <x:f>'订单主数据'!AR62</x:f>
        <x:v>生产与备货</x:v>
      </x:c>
      <x:c r="E17" s="27" t="str">
        <x:f>'订单主数据'!AI62</x:f>
        <x:v>数量短装</x:v>
      </x:c>
      <x:c r="F17" s="27" t="str">
        <x:f>'订单主数据'!AJ62</x:f>
        <x:v>B级</x:v>
      </x:c>
      <x:c r="G17" s="69" t="str">
        <x:f>'订单主数据'!AO62</x:f>
        <x:v>数量短装导致计划节点存在一般偏差</x:v>
      </x:c>
      <x:c r="H17" s="69" t="str">
        <x:f>'订单主数据'!AK62</x:f>
        <x:v>仓储主管</x:v>
      </x:c>
      <x:c r="I17" s="170" t="n">
        <x:f>'订单主数据'!AL62</x:f>
        <x:v>46155</x:v>
      </x:c>
      <x:c r="J17" s="69" t="str">
        <x:f>IF(L17="已关闭","调整节点并完成补救","锁定影响范围，协调工厂/物流提供恢复方案")</x:f>
        <x:v>调整节点并完成补救</x:v>
      </x:c>
      <x:c r="K17" s="69" t="str">
        <x:f>'订单主数据'!AM62</x:f>
        <x:v>已通知</x:v>
      </x:c>
      <x:c r="L17" s="69" t="str">
        <x:f>'订单主数据'!AN62</x:f>
        <x:v>已关闭</x:v>
      </x:c>
      <x:c r="M17" s="69" t="str">
        <x:f>IF(L17="已关闭","前置检查或资源预留不足","待根因分析")</x:f>
        <x:v>前置检查或资源预留不足</x:v>
      </x:c>
      <x:c r="N17" s="69" t="str">
        <x:f>'订单主数据'!AP62</x:f>
        <x:v>已完成补救并取得客户确认</x:v>
      </x:c>
      <x:c r="O17" s="170" t="n">
        <x:f>I17+2</x:f>
        <x:v>46157</x:v>
      </x:c>
      <x:c r="P17" s="69" t="str">
        <x:f>IF(L17="已关闭","邮件确认及相关单证已归档","持续跟踪")</x:f>
        <x:v>邮件确认及相关单证已归档</x:v>
      </x:c>
    </x:row>
    <x:row r="18" ht="38" customHeight="1">
      <x:c r="A18" s="27" t="str">
        <x:f>"EX-26-013"</x:f>
        <x:v>EX-26-013</x:v>
      </x:c>
      <x:c r="B18" s="27" t="str">
        <x:f>'订单主数据'!A66</x:f>
        <x:v>PO-26-061</x:v>
      </x:c>
      <x:c r="C18" s="33" t="n">
        <x:f>'订单主数据'!B66+38</x:f>
        <x:v>46168</x:v>
      </x:c>
      <x:c r="D18" s="27" t="str">
        <x:f>'订单主数据'!AR66</x:f>
        <x:v>目的国与签收</x:v>
      </x:c>
      <x:c r="E18" s="27" t="str">
        <x:f>'订单主数据'!AI66</x:f>
        <x:v>清关异常</x:v>
      </x:c>
      <x:c r="F18" s="27" t="str">
        <x:f>'订单主数据'!AJ66</x:f>
        <x:v>A级</x:v>
      </x:c>
      <x:c r="G18" s="69" t="str">
        <x:f>'订单主数据'!AO66</x:f>
        <x:v>清关异常导致计划节点存在重大偏差</x:v>
      </x:c>
      <x:c r="H18" s="69" t="str">
        <x:f>'订单主数据'!AK66</x:f>
        <x:v>外贸跟单</x:v>
      </x:c>
      <x:c r="I18" s="170" t="n">
        <x:f>'订单主数据'!AL66</x:f>
        <x:v>46170</x:v>
      </x:c>
      <x:c r="J18" s="69" t="str">
        <x:f>IF(L18="已关闭","调整节点并完成补救","锁定影响范围，协调工厂/物流提供恢复方案")</x:f>
        <x:v>调整节点并完成补救</x:v>
      </x:c>
      <x:c r="K18" s="69" t="str">
        <x:f>'订单主数据'!AM66</x:f>
        <x:v>已通知</x:v>
      </x:c>
      <x:c r="L18" s="69" t="str">
        <x:f>'订单主数据'!AN66</x:f>
        <x:v>已关闭</x:v>
      </x:c>
      <x:c r="M18" s="69" t="str">
        <x:f>IF(L18="已关闭","前置检查或资源预留不足","待根因分析")</x:f>
        <x:v>前置检查或资源预留不足</x:v>
      </x:c>
      <x:c r="N18" s="69" t="str">
        <x:f>'订单主数据'!AP66</x:f>
        <x:v>已完成补救并取得客户确认</x:v>
      </x:c>
      <x:c r="O18" s="170" t="n">
        <x:f>I18+2</x:f>
        <x:v>46172</x:v>
      </x:c>
      <x:c r="P18" s="69" t="str">
        <x:f>IF(L18="已关闭","邮件确认及相关单证已归档","持续跟踪")</x:f>
        <x:v>邮件确认及相关单证已归档</x:v>
      </x:c>
    </x:row>
    <x:row r="19" ht="38" customHeight="1">
      <x:c r="A19" s="27" t="str">
        <x:f>"EX-26-014"</x:f>
        <x:v>EX-26-014</x:v>
      </x:c>
      <x:c r="B19" s="27" t="str">
        <x:f>'订单主数据'!A71</x:f>
        <x:v>PO-26-066</x:v>
      </x:c>
      <x:c r="C19" s="33" t="n">
        <x:f>'订单主数据'!B71+32</x:f>
        <x:v>46170</x:v>
      </x:c>
      <x:c r="D19" s="27" t="str">
        <x:f>'订单主数据'!AR71</x:f>
        <x:v>目的国与签收</x:v>
      </x:c>
      <x:c r="E19" s="27" t="str">
        <x:f>'订单主数据'!AI71</x:f>
        <x:v>派送失败</x:v>
      </x:c>
      <x:c r="F19" s="27" t="str">
        <x:f>'订单主数据'!AJ71</x:f>
        <x:v>B级</x:v>
      </x:c>
      <x:c r="G19" s="69" t="str">
        <x:f>'订单主数据'!AO71</x:f>
        <x:v>派送失败导致计划节点存在一般偏差</x:v>
      </x:c>
      <x:c r="H19" s="69" t="str">
        <x:f>'订单主数据'!AK71</x:f>
        <x:v>物流操作</x:v>
      </x:c>
      <x:c r="I19" s="170" t="n">
        <x:f>'订单主数据'!AL71</x:f>
        <x:v>46172</x:v>
      </x:c>
      <x:c r="J19" s="69" t="str">
        <x:f>IF(L19="已关闭","调整节点并完成补救","锁定影响范围，协调工厂/物流提供恢复方案")</x:f>
        <x:v>调整节点并完成补救</x:v>
      </x:c>
      <x:c r="K19" s="69" t="str">
        <x:f>'订单主数据'!AM71</x:f>
        <x:v>已通知</x:v>
      </x:c>
      <x:c r="L19" s="69" t="str">
        <x:f>'订单主数据'!AN71</x:f>
        <x:v>已关闭</x:v>
      </x:c>
      <x:c r="M19" s="69" t="str">
        <x:f>IF(L19="已关闭","前置检查或资源预留不足","待根因分析")</x:f>
        <x:v>前置检查或资源预留不足</x:v>
      </x:c>
      <x:c r="N19" s="69" t="str">
        <x:f>'订单主数据'!AP71</x:f>
        <x:v>已完成补救并取得客户确认</x:v>
      </x:c>
      <x:c r="O19" s="170" t="n">
        <x:f>I19+2</x:f>
        <x:v>46174</x:v>
      </x:c>
      <x:c r="P19" s="69" t="str">
        <x:f>IF(L19="已关闭","邮件确认及相关单证已归档","持续跟踪")</x:f>
        <x:v>邮件确认及相关单证已归档</x:v>
      </x:c>
    </x:row>
    <x:row r="20" ht="38" customHeight="1">
      <x:c r="A20" s="27" t="str">
        <x:f>"EX-26-015"</x:f>
        <x:v>EX-26-015</x:v>
      </x:c>
      <x:c r="B20" s="27" t="str">
        <x:f>'订单主数据'!A75</x:f>
        <x:v>PO-26-070</x:v>
      </x:c>
      <x:c r="C20" s="33" t="n">
        <x:f>'订单主数据'!B75+29</x:f>
        <x:v>46174</x:v>
      </x:c>
      <x:c r="D20" s="27" t="str">
        <x:f>'订单主数据'!AR75</x:f>
        <x:v>生产与备货</x:v>
      </x:c>
      <x:c r="E20" s="27" t="str">
        <x:f>'订单主数据'!AI75</x:f>
        <x:v>原料延期</x:v>
      </x:c>
      <x:c r="F20" s="27" t="str">
        <x:f>'订单主数据'!AJ75</x:f>
        <x:v>B级</x:v>
      </x:c>
      <x:c r="G20" s="69" t="str">
        <x:f>'订单主数据'!AO75</x:f>
        <x:v>原料延期导致计划节点存在一般偏差</x:v>
      </x:c>
      <x:c r="H20" s="69" t="str">
        <x:f>'订单主数据'!AK75</x:f>
        <x:v>供应链专员</x:v>
      </x:c>
      <x:c r="I20" s="170" t="n">
        <x:f>'订单主数据'!AL75</x:f>
        <x:v>46180</x:v>
      </x:c>
      <x:c r="J20" s="69" t="str">
        <x:f>IF(L20="已关闭","调整节点并完成补救","锁定影响范围，协调工厂/物流提供恢复方案")</x:f>
        <x:v>锁定影响范围，协调工厂/物流提供恢复方案</x:v>
      </x:c>
      <x:c r="K20" s="69" t="str">
        <x:f>'订单主数据'!AM75</x:f>
        <x:v>已通知</x:v>
      </x:c>
      <x:c r="L20" s="69" t="str">
        <x:f>'订单主数据'!AN75</x:f>
        <x:v>处理中</x:v>
      </x:c>
      <x:c r="M20" s="69" t="str">
        <x:f>IF(L20="已关闭","前置检查或资源预留不足","待根因分析")</x:f>
        <x:v>待根因分析</x:v>
      </x:c>
      <x:c r="N20" s="69" t="str">
        <x:f>'订单主数据'!AP75</x:f>
        <x:v>正在协调恢复方案</x:v>
      </x:c>
      <x:c r="O20" s="170"/>
      <x:c r="P20" s="69" t="str">
        <x:f>IF(L20="已关闭","邮件确认及相关单证已归档","持续跟踪")</x:f>
        <x:v>持续跟踪</x:v>
      </x:c>
    </x:row>
    <x:row r="21" ht="38" customHeight="1">
      <x:c r="A21" s="27" t="str">
        <x:f>"EX-26-016"</x:f>
        <x:v>EX-26-016</x:v>
      </x:c>
      <x:c r="B21" s="27" t="str">
        <x:f>'订单主数据'!A80</x:f>
        <x:v>PO-26-075</x:v>
      </x:c>
      <x:c r="C21" s="33" t="n">
        <x:f>'订单主数据'!B80+29</x:f>
        <x:v>46183</x:v>
      </x:c>
      <x:c r="D21" s="27" t="str">
        <x:f>'订单主数据'!AR80</x:f>
        <x:v>生产与备货</x:v>
      </x:c>
      <x:c r="E21" s="27" t="str">
        <x:f>'订单主数据'!AI80</x:f>
        <x:v>品质返工</x:v>
      </x:c>
      <x:c r="F21" s="27" t="str">
        <x:f>'订单主数据'!AJ80</x:f>
        <x:v>A级</x:v>
      </x:c>
      <x:c r="G21" s="69" t="str">
        <x:f>'订单主数据'!AO80</x:f>
        <x:v>品质返工导致计划节点存在重大偏差</x:v>
      </x:c>
      <x:c r="H21" s="69" t="str">
        <x:f>'订单主数据'!AK80</x:f>
        <x:v>品质主管</x:v>
      </x:c>
      <x:c r="I21" s="170" t="n">
        <x:f>'订单主数据'!AL80</x:f>
        <x:v>46189</x:v>
      </x:c>
      <x:c r="J21" s="69" t="str">
        <x:f>IF(L21="已关闭","调整节点并完成补救","锁定影响范围，协调工厂/物流提供恢复方案")</x:f>
        <x:v>锁定影响范围，协调工厂/物流提供恢复方案</x:v>
      </x:c>
      <x:c r="K21" s="69" t="str">
        <x:f>'订单主数据'!AM80</x:f>
        <x:v>待通知</x:v>
      </x:c>
      <x:c r="L21" s="69" t="str">
        <x:f>'订单主数据'!AN80</x:f>
        <x:v>待处理</x:v>
      </x:c>
      <x:c r="M21" s="69" t="str">
        <x:f>IF(L21="已关闭","前置检查或资源预留不足","待根因分析")</x:f>
        <x:v>待根因分析</x:v>
      </x:c>
      <x:c r="N21" s="69" t="str">
        <x:f>'订单主数据'!AP80</x:f>
        <x:v>正在协调恢复方案</x:v>
      </x:c>
      <x:c r="O21" s="170"/>
      <x:c r="P21" s="69" t="str">
        <x:f>IF(L21="已关闭","邮件确认及相关单证已归档","持续跟踪")</x:f>
        <x:v>持续跟踪</x:v>
      </x:c>
    </x:row>
    <x:row r="22" ht="38" customHeight="1">
      <x:c r="A22" s="27" t="str">
        <x:f>"EX-26-017"</x:f>
        <x:v>EX-26-017</x:v>
      </x:c>
      <x:c r="B22" s="27" t="str">
        <x:f>'订单主数据'!A85</x:f>
        <x:v>PO-26-080</x:v>
      </x:c>
      <x:c r="C22" s="33" t="n">
        <x:f>'订单主数据'!B85+38</x:f>
        <x:v>46201</x:v>
      </x:c>
      <x:c r="D22" s="27" t="str">
        <x:f>'订单主数据'!AR85</x:f>
        <x:v>出运</x:v>
      </x:c>
      <x:c r="E22" s="27" t="str">
        <x:f>'订单主数据'!AI85</x:f>
        <x:v>舱位不足</x:v>
      </x:c>
      <x:c r="F22" s="27" t="str">
        <x:f>'订单主数据'!AJ85</x:f>
        <x:v>B级</x:v>
      </x:c>
      <x:c r="G22" s="69" t="str">
        <x:f>'订单主数据'!AO85</x:f>
        <x:v>舱位不足导致计划节点存在一般偏差</x:v>
      </x:c>
      <x:c r="H22" s="69" t="str">
        <x:f>'订单主数据'!AK85</x:f>
        <x:v>物流操作</x:v>
      </x:c>
      <x:c r="I22" s="170" t="n">
        <x:f>'订单主数据'!AL85</x:f>
        <x:v>46207</x:v>
      </x:c>
      <x:c r="J22" s="69" t="str">
        <x:f>IF(L22="已关闭","调整节点并完成补救","锁定影响范围，协调工厂/物流提供恢复方案")</x:f>
        <x:v>锁定影响范围，协调工厂/物流提供恢复方案</x:v>
      </x:c>
      <x:c r="K22" s="69" t="str">
        <x:f>'订单主数据'!AM85</x:f>
        <x:v>已通知</x:v>
      </x:c>
      <x:c r="L22" s="69" t="str">
        <x:f>'订单主数据'!AN85</x:f>
        <x:v>处理中</x:v>
      </x:c>
      <x:c r="M22" s="69" t="str">
        <x:f>IF(L22="已关闭","前置检查或资源预留不足","待根因分析")</x:f>
        <x:v>待根因分析</x:v>
      </x:c>
      <x:c r="N22" s="69" t="str">
        <x:f>'订单主数据'!AP85</x:f>
        <x:v>正在协调恢复方案</x:v>
      </x:c>
      <x:c r="O22" s="170"/>
      <x:c r="P22" s="69" t="str">
        <x:f>IF(L22="已关闭","邮件确认及相关单证已归档","持续跟踪")</x:f>
        <x:v>持续跟踪</x:v>
      </x:c>
    </x:row>
    <x:row r="23" ht="38" customHeight="1">
      <x:c r="A23" s="27" t="str">
        <x:f>"EX-26-018"</x:f>
        <x:v>EX-26-018</x:v>
      </x:c>
      <x:c r="B23" s="27" t="str">
        <x:f>'订单主数据'!A90</x:f>
        <x:v>PO-26-085</x:v>
      </x:c>
      <x:c r="C23" s="33" t="n">
        <x:f>'订单主数据'!B90+27</x:f>
        <x:v>46199</x:v>
      </x:c>
      <x:c r="D23" s="27" t="str">
        <x:f>'订单主数据'!AR90</x:f>
        <x:v>单证</x:v>
      </x:c>
      <x:c r="E23" s="27" t="str">
        <x:f>'订单主数据'!AI90</x:f>
        <x:v>单证缺失</x:v>
      </x:c>
      <x:c r="F23" s="27" t="str">
        <x:f>'订单主数据'!AJ90</x:f>
        <x:v>A级</x:v>
      </x:c>
      <x:c r="G23" s="69" t="str">
        <x:f>'订单主数据'!AO90</x:f>
        <x:v>单证缺失导致计划节点存在重大偏差</x:v>
      </x:c>
      <x:c r="H23" s="69" t="str">
        <x:f>'订单主数据'!AK90</x:f>
        <x:v>单证专员</x:v>
      </x:c>
      <x:c r="I23" s="170" t="n">
        <x:f>'订单主数据'!AL90</x:f>
        <x:v>46205</x:v>
      </x:c>
      <x:c r="J23" s="69" t="str">
        <x:f>IF(L23="已关闭","调整节点并完成补救","锁定影响范围，协调工厂/物流提供恢复方案")</x:f>
        <x:v>锁定影响范围，协调工厂/物流提供恢复方案</x:v>
      </x:c>
      <x:c r="K23" s="69" t="str">
        <x:f>'订单主数据'!AM90</x:f>
        <x:v>待通知</x:v>
      </x:c>
      <x:c r="L23" s="69" t="str">
        <x:f>'订单主数据'!AN90</x:f>
        <x:v>待处理</x:v>
      </x:c>
      <x:c r="M23" s="69" t="str">
        <x:f>IF(L23="已关闭","前置检查或资源预留不足","待根因分析")</x:f>
        <x:v>待根因分析</x:v>
      </x:c>
      <x:c r="N23" s="69" t="str">
        <x:f>'订单主数据'!AP90</x:f>
        <x:v>正在协调恢复方案</x:v>
      </x:c>
      <x:c r="O23" s="170"/>
      <x:c r="P23" s="69" t="str">
        <x:f>IF(L23="已关闭","邮件确认及相关单证已归档","持续跟踪")</x:f>
        <x:v>持续跟踪</x:v>
      </x:c>
    </x:row>
    <x:row r="24" ht="38" customHeight="1">
      <x:c r="A24" s="27" t="str">
        <x:f>"EX-26-019"</x:f>
        <x:v>EX-26-019</x:v>
      </x:c>
      <x:c r="B24" s="27" t="str">
        <x:f>'订单主数据'!A95</x:f>
        <x:v>PO-26-090</x:v>
      </x:c>
      <x:c r="C24" s="33" t="n">
        <x:f>'订单主数据'!B95+30</x:f>
        <x:v>46210</x:v>
      </x:c>
      <x:c r="D24" s="27" t="str">
        <x:f>'订单主数据'!AR95</x:f>
        <x:v>出运</x:v>
      </x:c>
      <x:c r="E24" s="27" t="str">
        <x:f>'订单主数据'!AI95</x:f>
        <x:v>甩柜/船期变更</x:v>
      </x:c>
      <x:c r="F24" s="27" t="str">
        <x:f>'订单主数据'!AJ95</x:f>
        <x:v>A级</x:v>
      </x:c>
      <x:c r="G24" s="69" t="str">
        <x:f>'订单主数据'!AO95</x:f>
        <x:v>甩柜/船期变更导致计划节点存在重大偏差</x:v>
      </x:c>
      <x:c r="H24" s="69" t="str">
        <x:f>'订单主数据'!AK95</x:f>
        <x:v>物流主管</x:v>
      </x:c>
      <x:c r="I24" s="170" t="n">
        <x:f>'订单主数据'!AL95</x:f>
        <x:v>46216</x:v>
      </x:c>
      <x:c r="J24" s="69" t="str">
        <x:f>IF(L24="已关闭","调整节点并完成补救","锁定影响范围，协调工厂/物流提供恢复方案")</x:f>
        <x:v>锁定影响范围，协调工厂/物流提供恢复方案</x:v>
      </x:c>
      <x:c r="K24" s="69" t="str">
        <x:f>'订单主数据'!AM95</x:f>
        <x:v>已通知</x:v>
      </x:c>
      <x:c r="L24" s="69" t="str">
        <x:f>'订单主数据'!AN95</x:f>
        <x:v>处理中</x:v>
      </x:c>
      <x:c r="M24" s="69" t="str">
        <x:f>IF(L24="已关闭","前置检查或资源预留不足","待根因分析")</x:f>
        <x:v>待根因分析</x:v>
      </x:c>
      <x:c r="N24" s="69" t="str">
        <x:f>'订单主数据'!AP95</x:f>
        <x:v>正在协调恢复方案</x:v>
      </x:c>
      <x:c r="O24" s="170"/>
      <x:c r="P24" s="69" t="str">
        <x:f>IF(L24="已关闭","邮件确认及相关单证已归档","持续跟踪")</x:f>
        <x:v>持续跟踪</x:v>
      </x:c>
    </x:row>
    <x:row r="25" ht="38" customHeight="1">
      <x:c r="A25" s="28" t="str">
        <x:f>"EX-26-020"</x:f>
        <x:v>EX-26-020</x:v>
      </x:c>
      <x:c r="B25" s="28" t="str">
        <x:f>'订单主数据'!A99</x:f>
        <x:v>PO-26-094</x:v>
      </x:c>
      <x:c r="C25" s="34" t="n">
        <x:f>'订单主数据'!B99+29</x:f>
        <x:v>46216</x:v>
      </x:c>
      <x:c r="D25" s="28" t="str">
        <x:f>'订单主数据'!AR99</x:f>
        <x:v>在途物流</x:v>
      </x:c>
      <x:c r="E25" s="28" t="str">
        <x:f>'订单主数据'!AI99</x:f>
        <x:v>物流轨迹停滞</x:v>
      </x:c>
      <x:c r="F25" s="28" t="str">
        <x:f>'订单主数据'!AJ99</x:f>
        <x:v>B级</x:v>
      </x:c>
      <x:c r="G25" s="70" t="str">
        <x:f>'订单主数据'!AO99</x:f>
        <x:v>物流轨迹停滞导致计划节点存在一般偏差</x:v>
      </x:c>
      <x:c r="H25" s="70" t="str">
        <x:f>'订单主数据'!AK99</x:f>
        <x:v>物流操作</x:v>
      </x:c>
      <x:c r="I25" s="171" t="n">
        <x:f>'订单主数据'!AL99</x:f>
        <x:v>46222</x:v>
      </x:c>
      <x:c r="J25" s="70" t="str">
        <x:f>IF(L25="已关闭","调整节点并完成补救","锁定影响范围，协调工厂/物流提供恢复方案")</x:f>
        <x:v>锁定影响范围，协调工厂/物流提供恢复方案</x:v>
      </x:c>
      <x:c r="K25" s="70" t="str">
        <x:f>'订单主数据'!AM99</x:f>
        <x:v>已通知</x:v>
      </x:c>
      <x:c r="L25" s="70" t="str">
        <x:f>'订单主数据'!AN99</x:f>
        <x:v>处理中</x:v>
      </x:c>
      <x:c r="M25" s="70" t="str">
        <x:f>IF(L25="已关闭","前置检查或资源预留不足","待根因分析")</x:f>
        <x:v>待根因分析</x:v>
      </x:c>
      <x:c r="N25" s="70" t="str">
        <x:f>'订单主数据'!AP99</x:f>
        <x:v>正在协调恢复方案</x:v>
      </x:c>
      <x:c r="O25" s="171"/>
      <x:c r="P25" s="70" t="str">
        <x:f>IF(L25="已关闭","邮件确认及相关单证已归档","持续跟踪")</x:f>
        <x:v>持续跟踪</x:v>
      </x:c>
    </x:row>
  </x:sheetData>
  <x:mergeCells>
    <x:mergeCell ref="A1:P1"/>
    <x:mergeCell ref="A2:P2"/>
  </x:mergeCells>
  <x:conditionalFormatting sqref="F6:F25">
    <x:cfRule type="containsText" dxfId="8" priority="1" operator="containsText" text="A级"/>
  </x:conditionalFormatting>
  <x:conditionalFormatting sqref="L6:L25">
    <x:cfRule type="containsText" dxfId="9" priority="2" operator="containsText" text="待处理"/>
    <x:cfRule type="containsText" dxfId="10" priority="3" operator="containsText" text="处理中"/>
  </x:conditionalFormatting>
  <x:pageMargins left="0.7" right="0.7" top="0.75" bottom="0.75" header="0.3" footer="0.3"/>
  <x:tableParts count="1">
    <x:tablePart xmlns:r="http://schemas.openxmlformats.org/officeDocument/2006/relationships" r:id="Rf01707ca55dd4cf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2" hidden="0" customWidth="1"/>
    <x:col min="5" max="5" width="18" hidden="0" customWidth="1"/>
    <x:col min="6" max="6" width="12" hidden="0" customWidth="1"/>
    <x:col min="7" max="7" width="12" hidden="0" customWidth="1"/>
    <x:col min="8" max="8" width="18" hidden="0" customWidth="1"/>
    <x:col min="9" max="9" width="12" hidden="0" customWidth="1"/>
    <x:col min="10" max="10" width="12" hidden="0" customWidth="1"/>
  </x:cols>
  <x:sheetData>
    <x:row r="1" ht="34" customHeight="1">
      <x:c r="A1" s="4" t="str">
        <x:v>异常复盘记录</x:v>
      </x:c>
    </x:row>
    <x:row r="2" ht="22" customHeight="1">
      <x:c r="A2" s="7" t="str">
        <x:v>以5Why思路查找根本原因，并将纠正措施回写到预警规则或SOP</x:v>
      </x:c>
      <x:c r="B2" s="7" t="str">
        <x:v>以5Why思路查找根本原因，并将纠正措施回写到预警规则或SOP</x:v>
      </x:c>
      <x:c r="C2" s="7" t="str">
        <x:v>以5Why思路查找根本原因，并将纠正措施回写到预警规则或SOP</x:v>
      </x:c>
      <x:c r="D2" s="7" t="str">
        <x:v>以5Why思路查找根本原因，并将纠正措施回写到预警规则或SOP</x:v>
      </x:c>
      <x:c r="E2" s="7" t="str">
        <x:v>以5Why思路查找根本原因，并将纠正措施回写到预警规则或SOP</x:v>
      </x:c>
      <x:c r="F2" s="7" t="str">
        <x:v>以5Why思路查找根本原因，并将纠正措施回写到预警规则或SOP</x:v>
      </x:c>
      <x:c r="G2" s="7" t="str">
        <x:v>以5Why思路查找根本原因，并将纠正措施回写到预警规则或SOP</x:v>
      </x:c>
      <x:c r="H2" s="7" t="str">
        <x:v>以5Why思路查找根本原因，并将纠正措施回写到预警规则或SOP</x:v>
      </x:c>
      <x:c r="I2" s="7" t="str">
        <x:v>以5Why思路查找根本原因，并将纠正措施回写到预警规则或SOP</x:v>
      </x:c>
      <x:c r="J2" s="7" t="str">
        <x:v>以5Why思路查找根本原因，并将纠正措施回写到预警规则或SOP</x:v>
      </x:c>
    </x:row>
    <x:row r="4" ht="32" customHeight="1">
      <x:c r="A4" s="145" t="str">
        <x:v>示例复盘：PO-26-075 品质返工导致旺季出运风险</x:v>
      </x:c>
      <x:c r="B4" s="146"/>
      <x:c r="C4" s="146"/>
      <x:c r="D4" s="146"/>
      <x:c r="E4" s="146"/>
      <x:c r="F4" s="146"/>
      <x:c r="G4" s="146"/>
      <x:c r="H4" s="146"/>
      <x:c r="I4" s="146"/>
      <x:c r="J4" s="147"/>
    </x:row>
    <x:row r="6" ht="26" customHeight="1">
      <x:c r="A6" s="176" t="str">
        <x:v>复盘日期</x:v>
      </x:c>
      <x:c r="B6" s="177" t="str">
        <x:v>2026-06-23</x:v>
      </x:c>
      <x:c r="C6" s="177" t="str"/>
      <x:c r="D6" s="178" t="str">
        <x:v>订单编号</x:v>
      </x:c>
      <x:c r="E6" s="177" t="str">
        <x:v>PO-26-075</x:v>
      </x:c>
      <x:c r="F6" s="177" t="str"/>
      <x:c r="G6" s="178" t="str">
        <x:v>异常等级</x:v>
      </x:c>
      <x:c r="H6" s="177" t="str">
        <x:v>A级</x:v>
      </x:c>
      <x:c r="I6" s="177" t="str"/>
      <x:c r="J6" s="177" t="str"/>
    </x:row>
    <x:row r="8" ht="48" customHeight="1">
      <x:c r="A8" s="176" t="str">
        <x:v>事件概述</x:v>
      </x:c>
      <x:c r="B8" s="177" t="str">
        <x:v>尾期验货发现折叠椅连接件松动，需返工并重新抽检。</x:v>
      </x:c>
      <x:c r="C8" s="177" t="str"/>
      <x:c r="D8" s="178" t="str">
        <x:v>客户影响</x:v>
      </x:c>
      <x:c r="E8" s="177" t="str">
        <x:v>促销备货窗口缩短，原海运舱位可能失效。</x:v>
      </x:c>
      <x:c r="F8" s="177" t="str"/>
      <x:c r="G8" s="178" t="str">
        <x:v>直接原因</x:v>
      </x:c>
      <x:c r="H8" s="177" t="str">
        <x:v>装配扭矩未按作业指导书执行。</x:v>
      </x:c>
      <x:c r="I8" s="177" t="str"/>
      <x:c r="J8" s="177" t="str"/>
    </x:row>
    <x:row r="10" ht="48" customHeight="1">
      <x:c r="A10" s="176" t="str">
        <x:v>根本原因</x:v>
      </x:c>
      <x:c r="B10" s="177" t="str">
        <x:v>新班组培训记录不完整；中期抽检未覆盖关键连接点。</x:v>
      </x:c>
      <x:c r="C10" s="177" t="str"/>
      <x:c r="D10" s="178" t="str">
        <x:v>临时措施</x:v>
      </x:c>
      <x:c r="E10" s="177" t="str">
        <x:v>暂停出货、100%复检；与货代锁定下一班船并评估部分空运。</x:v>
      </x:c>
      <x:c r="F10" s="177" t="str"/>
      <x:c r="G10" s="178" t="str">
        <x:v>客户沟通</x:v>
      </x:c>
      <x:c r="H10" s="177" t="str">
        <x:v>已说明事实、影响、恢复方案及下一更新时间。</x:v>
      </x:c>
      <x:c r="I10" s="177" t="str"/>
      <x:c r="J10" s="177" t="str"/>
    </x:row>
    <x:row r="12" ht="48" customHeight="1">
      <x:c r="A12" s="176" t="str">
        <x:v>纠正措施</x:v>
      </x:c>
      <x:c r="B12" s="177" t="str">
        <x:v>增加中期扭矩抽检；新班组上岗前完成首件确认。</x:v>
      </x:c>
      <x:c r="C12" s="177" t="str"/>
      <x:c r="D12" s="178" t="str">
        <x:v>责任人</x:v>
      </x:c>
      <x:c r="E12" s="177" t="str">
        <x:v>品质主管 / 供应链专员</x:v>
      </x:c>
      <x:c r="F12" s="177" t="str"/>
      <x:c r="G12" s="178" t="str">
        <x:v>完成时限</x:v>
      </x:c>
      <x:c r="H12" s="177" t="str">
        <x:v>2026-06-30</x:v>
      </x:c>
      <x:c r="I12" s="177" t="str"/>
      <x:c r="J12" s="177" t="str"/>
    </x:row>
    <x:row r="14" ht="48" customHeight="1">
      <x:c r="A14" s="176" t="str">
        <x:v>SOP更新</x:v>
      </x:c>
      <x:c r="B14" s="177" t="str">
        <x:v>在“品质异常处理卡”中增加中期抽检触发条件。</x:v>
      </x:c>
      <x:c r="C14" s="177" t="str"/>
      <x:c r="D14" s="178" t="str">
        <x:v>验证方式</x:v>
      </x:c>
      <x:c r="E14" s="177" t="str">
        <x:v>连续3批抽检合格率100%。</x:v>
      </x:c>
      <x:c r="F14" s="177" t="str"/>
      <x:c r="G14" s="178" t="str">
        <x:v>关闭标准</x:v>
      </x:c>
      <x:c r="H14" s="177" t="str">
        <x:v>客户确认新交期且复检报告归档。</x:v>
      </x:c>
      <x:c r="I14" s="177" t="str"/>
      <x:c r="J14" s="177" t="str"/>
    </x:row>
    <x:row r="17" ht="32" customHeight="1">
      <x:c r="A17" s="105" t="str">
        <x:v>空白复盘模板（复制本区用于下一次复盘）</x:v>
      </x:c>
      <x:c r="B17" s="106"/>
      <x:c r="C17" s="106"/>
      <x:c r="D17" s="106"/>
      <x:c r="E17" s="106"/>
      <x:c r="F17" s="106"/>
      <x:c r="G17" s="106"/>
      <x:c r="H17" s="106"/>
      <x:c r="I17" s="106"/>
      <x:c r="J17" s="107"/>
    </x:row>
    <x:row r="19" ht="42" customHeight="1">
      <x:c r="A19" s="172" t="str">
        <x:v>复盘日期</x:v>
      </x:c>
      <x:c r="B19" s="175" t="str"/>
      <x:c r="C19" s="175" t="str"/>
      <x:c r="D19" s="174" t="str">
        <x:v>订单编号</x:v>
      </x:c>
      <x:c r="E19" s="175" t="str"/>
      <x:c r="F19" s="175" t="str"/>
      <x:c r="G19" s="174" t="str">
        <x:v>异常等级</x:v>
      </x:c>
      <x:c r="H19" s="175" t="str"/>
      <x:c r="I19" s="175" t="str"/>
      <x:c r="J19" s="175" t="str"/>
    </x:row>
    <x:row r="21" ht="42" customHeight="1">
      <x:c r="A21" s="172" t="str">
        <x:v>事件概述</x:v>
      </x:c>
      <x:c r="B21" s="175" t="str"/>
      <x:c r="C21" s="175" t="str"/>
      <x:c r="D21" s="174" t="str">
        <x:v>客户影响</x:v>
      </x:c>
      <x:c r="E21" s="175" t="str"/>
      <x:c r="F21" s="175" t="str"/>
      <x:c r="G21" s="174" t="str">
        <x:v>直接原因</x:v>
      </x:c>
      <x:c r="H21" s="175" t="str"/>
      <x:c r="I21" s="175" t="str"/>
      <x:c r="J21" s="175" t="str"/>
    </x:row>
    <x:row r="23" ht="42" customHeight="1">
      <x:c r="A23" s="172" t="str">
        <x:v>根本原因</x:v>
      </x:c>
      <x:c r="B23" s="175" t="str"/>
      <x:c r="C23" s="175" t="str"/>
      <x:c r="D23" s="174" t="str">
        <x:v>临时措施</x:v>
      </x:c>
      <x:c r="E23" s="175" t="str"/>
      <x:c r="F23" s="175" t="str"/>
      <x:c r="G23" s="174" t="str">
        <x:v>客户沟通</x:v>
      </x:c>
      <x:c r="H23" s="175" t="str"/>
      <x:c r="I23" s="175" t="str"/>
      <x:c r="J23" s="175" t="str"/>
    </x:row>
    <x:row r="25" ht="42" customHeight="1">
      <x:c r="A25" s="172" t="str">
        <x:v>纠正措施</x:v>
      </x:c>
      <x:c r="B25" s="175" t="str"/>
      <x:c r="C25" s="175" t="str"/>
      <x:c r="D25" s="174" t="str">
        <x:v>责任人</x:v>
      </x:c>
      <x:c r="E25" s="175" t="str"/>
      <x:c r="F25" s="175" t="str"/>
      <x:c r="G25" s="174" t="str">
        <x:v>完成时限</x:v>
      </x:c>
      <x:c r="H25" s="175" t="str"/>
      <x:c r="I25" s="175" t="str"/>
      <x:c r="J25" s="175" t="str"/>
    </x:row>
    <x:row r="27" ht="42" customHeight="1">
      <x:c r="A27" s="172" t="str">
        <x:v>SOP更新</x:v>
      </x:c>
      <x:c r="B27" s="175" t="str"/>
      <x:c r="C27" s="175" t="str"/>
      <x:c r="D27" s="174" t="str">
        <x:v>验证方式</x:v>
      </x:c>
      <x:c r="E27" s="175" t="str"/>
      <x:c r="F27" s="175" t="str"/>
      <x:c r="G27" s="174" t="str">
        <x:v>关闭标准</x:v>
      </x:c>
      <x:c r="H27" s="175" t="str"/>
      <x:c r="I27" s="175" t="str"/>
      <x:c r="J27" s="175" t="str"/>
    </x:row>
  </x:sheetData>
  <x:mergeCells>
    <x:mergeCell ref="A1:J1"/>
    <x:mergeCell ref="A2:J2"/>
    <x:mergeCell ref="A4:J4"/>
    <x:mergeCell ref="B6:C6"/>
    <x:mergeCell ref="E6:F6"/>
    <x:mergeCell ref="H6:J6"/>
    <x:mergeCell ref="B8:C8"/>
    <x:mergeCell ref="E8:F8"/>
    <x:mergeCell ref="H8:J8"/>
    <x:mergeCell ref="B10:C10"/>
    <x:mergeCell ref="E10:F10"/>
    <x:mergeCell ref="H10:J10"/>
    <x:mergeCell ref="B12:C12"/>
    <x:mergeCell ref="E12:F12"/>
    <x:mergeCell ref="H12:J12"/>
    <x:mergeCell ref="B14:C14"/>
    <x:mergeCell ref="E14:F14"/>
    <x:mergeCell ref="H14:J14"/>
    <x:mergeCell ref="A17:J17"/>
    <x:mergeCell ref="B19:C19"/>
    <x:mergeCell ref="E19:F19"/>
    <x:mergeCell ref="H19:J19"/>
    <x:mergeCell ref="B21:C21"/>
    <x:mergeCell ref="E21:F21"/>
    <x:mergeCell ref="H21:J21"/>
    <x:mergeCell ref="B23:C23"/>
    <x:mergeCell ref="E23:F23"/>
    <x:mergeCell ref="H23:J23"/>
    <x:mergeCell ref="B25:C25"/>
    <x:mergeCell ref="E25:F25"/>
    <x:mergeCell ref="H25:J25"/>
    <x:mergeCell ref="B27:C27"/>
    <x:mergeCell ref="E27:F27"/>
    <x:mergeCell ref="H27:J27"/>
  </x:mergeCells>
  <x:pageMargins left="0.7" right="0.7" top="0.75" bottom="0.75" header="0.3" footer="0.3"/>
</x:worksheet>
</file>